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Diagnóstico" sheetId="2" state="visible" r:id="rId2"/>
    <sheet name="Funil Completo" sheetId="3" state="visible" r:id="rId3"/>
    <sheet name="Meta - Campanhas" sheetId="4" state="visible" r:id="rId4"/>
    <sheet name="Campanha x Vendas" sheetId="5" state="visible" r:id="rId5"/>
    <sheet name="Status das Reuniões" sheetId="6" state="visible" r:id="rId6"/>
    <sheet name="Por Responsável" sheetId="7" state="visible" r:id="rId7"/>
    <sheet name="Por Marcação" sheetId="8" state="visible" r:id="rId8"/>
    <sheet name="Por Semana" sheetId="9" state="visible" r:id="rId9"/>
    <sheet name="Por Dia da Semana" sheetId="10" state="visible" r:id="rId10"/>
    <sheet name="Ciclo de Venda" sheetId="11" state="visible" r:id="rId11"/>
    <sheet name="Motivos de Perda" sheetId="12" state="visible" r:id="rId12"/>
    <sheet name="Pipeline em Aberto" sheetId="13" state="visible" r:id="rId13"/>
    <sheet name="Observações e Objeções" sheetId="14" state="visible" r:id="rId14"/>
    <sheet name="No-show e Remarcações" sheetId="15" state="visible" r:id="rId15"/>
    <sheet name="Base Reuniões (tratada)" sheetId="16" state="visible" r:id="rId16"/>
    <sheet name="Base Meta (tratada)" sheetId="17" state="visible" r:id="rId17"/>
    <sheet name="Qualidade dos Dados" sheetId="18" state="visible" r:id="rId18"/>
    <sheet name="Glossário" sheetId="19" state="visible" r:id="rId19"/>
  </sheets>
  <definedNames>
    <definedName name="_xlnm._FilterDatabase" localSheetId="1" hidden="1">'Diagnóstico'!$A$4:$C$21</definedName>
    <definedName name="_xlnm._FilterDatabase" localSheetId="3" hidden="1">'Meta - Campanhas'!$A$4:$N$6</definedName>
    <definedName name="_xlnm._FilterDatabase" localSheetId="5" hidden="1">'Status das Reuniões'!$A$5:$C$9</definedName>
    <definedName name="_xlnm._FilterDatabase" localSheetId="6" hidden="1">'Por Responsável'!$A$4:$U$6</definedName>
    <definedName name="_xlnm._FilterDatabase" localSheetId="7" hidden="1">'Por Marcação'!$A$4:$U$6</definedName>
    <definedName name="_xlnm._FilterDatabase" localSheetId="8" hidden="1">'Por Semana'!$A$4:$U$8</definedName>
    <definedName name="_xlnm._FilterDatabase" localSheetId="9" hidden="1">'Por Dia da Semana'!$A$4:$U$10</definedName>
    <definedName name="_xlnm._FilterDatabase" localSheetId="10" hidden="1">'Ciclo de Venda'!$A$5:$B$11</definedName>
    <definedName name="_xlnm._FilterDatabase" localSheetId="12" hidden="1">'Pipeline em Aberto'!$A$4:$K$30</definedName>
    <definedName name="_xlnm._FilterDatabase" localSheetId="13" hidden="1">'Observações e Objeções'!$A$5:$B$13</definedName>
    <definedName name="_xlnm._FilterDatabase" localSheetId="15" hidden="1">'Base Reuniões (tratada)'!$A$4:$R$40</definedName>
    <definedName name="_xlnm._FilterDatabase" localSheetId="16" hidden="1">'Base Meta (tratada)'!$A$4:$M$6</definedName>
    <definedName name="_xlnm._FilterDatabase" localSheetId="17" hidden="1">'Qualidade dos Dados'!$A$5:$B$8</definedName>
    <definedName name="_xlnm._FilterDatabase" localSheetId="18" hidden="1">'Glossário'!$A$4:$B$40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R$&quot; #,##0.00;-&quot;R$&quot; #,##0.00;&quot;-&quot;"/>
    <numFmt numFmtId="165" formatCode="#,##0;-#,##0;&quot;-&quot;"/>
    <numFmt numFmtId="166" formatCode="0.0%;-0.0%;&quot;-&quot;"/>
    <numFmt numFmtId="167" formatCode="0.000%"/>
    <numFmt numFmtId="168" formatCode="0.00&quot;x&quot;;-0.00&quot;x&quot;;&quot;-&quot;"/>
    <numFmt numFmtId="169" formatCode="#,##0.0;-#,##0.0;&quot;-&quot;"/>
    <numFmt numFmtId="170" formatCode="yyyy-mm-dd h:mm:ss"/>
    <numFmt numFmtId="171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164" fontId="6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5" fontId="6" fillId="0" borderId="1" pivotButton="0" quotePrefix="0" xfId="0"/>
    <xf numFmtId="0" fontId="5" fillId="4" borderId="1" pivotButton="0" quotePrefix="0" xfId="0"/>
    <xf numFmtId="166" fontId="6" fillId="4" borderId="1" pivotButton="0" quotePrefix="0" xfId="0"/>
    <xf numFmtId="166" fontId="7" fillId="0" borderId="1" pivotButton="0" quotePrefix="0" xfId="0"/>
    <xf numFmtId="164" fontId="6" fillId="4" borderId="1" pivotButton="0" quotePrefix="0" xfId="0"/>
    <xf numFmtId="164" fontId="7" fillId="0" borderId="1" pivotButton="0" quotePrefix="0" xfId="0"/>
    <xf numFmtId="166" fontId="6" fillId="0" borderId="1" pivotButton="0" quotePrefix="0" xfId="0"/>
    <xf numFmtId="0" fontId="6" fillId="5" borderId="1" pivotButton="0" quotePrefix="0" xfId="0"/>
    <xf numFmtId="166" fontId="6" fillId="5" borderId="1" pivotButton="0" quotePrefix="0" xfId="0"/>
    <xf numFmtId="0" fontId="5" fillId="5" borderId="1" pivotButton="0" quotePrefix="0" xfId="0"/>
    <xf numFmtId="164" fontId="6" fillId="5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wrapText="1"/>
    </xf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4" fontId="5" fillId="0" borderId="1" pivotButton="0" quotePrefix="0" xfId="0"/>
    <xf numFmtId="168" fontId="5" fillId="0" borderId="1" pivotButton="0" quotePrefix="0" xfId="0"/>
    <xf numFmtId="0" fontId="5" fillId="6" borderId="1" pivotButton="0" quotePrefix="0" xfId="0"/>
    <xf numFmtId="164" fontId="5" fillId="6" borderId="1" pivotButton="0" quotePrefix="0" xfId="0"/>
    <xf numFmtId="165" fontId="5" fillId="6" borderId="1" pivotButton="0" quotePrefix="0" xfId="0"/>
    <xf numFmtId="166" fontId="5" fillId="6" borderId="1" pivotButton="0" quotePrefix="0" xfId="0"/>
    <xf numFmtId="168" fontId="5" fillId="6" borderId="1" pivotButton="0" quotePrefix="0" xfId="0"/>
    <xf numFmtId="0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168" fontId="6" fillId="3" borderId="1" pivotButton="0" quotePrefix="0" xfId="0"/>
    <xf numFmtId="0" fontId="4" fillId="0" borderId="0" pivotButton="0" quotePrefix="0" xfId="0"/>
    <xf numFmtId="169" fontId="5" fillId="0" borderId="1" pivotButton="0" quotePrefix="0" xfId="0"/>
    <xf numFmtId="169" fontId="5" fillId="6" borderId="1" pivotButton="0" quotePrefix="0" xfId="0"/>
    <xf numFmtId="171" fontId="5" fillId="0" borderId="1" applyAlignment="1" pivotButton="0" quotePrefix="0" xfId="0">
      <alignment vertical="top" wrapText="1"/>
    </xf>
    <xf numFmtId="169" fontId="5" fillId="0" borderId="1" applyAlignment="1" pivotButton="0" quotePrefix="0" xfId="0">
      <alignment vertical="top" wrapText="1"/>
    </xf>
    <xf numFmtId="171" fontId="5" fillId="6" borderId="1" applyAlignment="1" pivotButton="0" quotePrefix="0" xfId="0">
      <alignment vertical="top" wrapText="1"/>
    </xf>
    <xf numFmtId="169" fontId="5" fillId="6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71" fontId="5" fillId="0" borderId="1" pivotButton="0" quotePrefix="0" xfId="0"/>
    <xf numFmtId="171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Funil (etapas após o clique)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'Funil Completo'!$A$8:$A$12</f>
            </numRef>
          </cat>
          <val>
            <numRef>
              <f>'Funil Completo'!$B$8:$B$12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62" customWidth="1" min="3" max="3"/>
    <col width="14" customWidth="1" min="4" max="4"/>
    <col width="20" customWidth="1" min="5" max="5"/>
  </cols>
  <sheetData>
    <row r="1">
      <c r="A1" s="1" t="inlineStr">
        <is>
          <t>Assertividade Comercial — setembro/2026</t>
        </is>
      </c>
    </row>
    <row r="2">
      <c r="A2" s="2" t="inlineStr">
        <is>
          <t>Período: setembro/2026  •  Gerado em 24/09/2026 15:31</t>
        </is>
      </c>
    </row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Como é calculado</t>
        </is>
      </c>
      <c r="D4" s="3" t="inlineStr">
        <is>
          <t>Meta</t>
        </is>
      </c>
      <c r="E4" s="3" t="inlineStr">
        <is>
          <t>Situação</t>
        </is>
      </c>
    </row>
    <row r="5">
      <c r="A5" s="4" t="inlineStr">
        <is>
          <t>TRÁFEGO PAGO (META)</t>
        </is>
      </c>
      <c r="B5" s="5" t="n"/>
      <c r="C5" s="5" t="n"/>
      <c r="D5" s="5" t="n"/>
      <c r="E5" s="5" t="n"/>
    </row>
    <row r="6">
      <c r="A6" s="6" t="inlineStr">
        <is>
          <t>Investimento em tráfego pago</t>
        </is>
      </c>
      <c r="B6" s="7" t="n">
        <v>3651.02</v>
      </c>
      <c r="C6" s="8" t="inlineStr">
        <is>
          <t>Soma de 'Valor usado' da Meta no período</t>
        </is>
      </c>
      <c r="D6" s="9" t="n"/>
      <c r="E6" s="9" t="n"/>
    </row>
    <row r="7">
      <c r="A7" s="6" t="inlineStr">
        <is>
          <t>Impressões</t>
        </is>
      </c>
      <c r="B7" s="10" t="n">
        <v>144456</v>
      </c>
      <c r="C7" s="8" t="inlineStr">
        <is>
          <t>Quantas vezes os anúncios apareceram</t>
        </is>
      </c>
      <c r="D7" s="9" t="n"/>
      <c r="E7" s="9" t="n"/>
    </row>
    <row r="8">
      <c r="A8" s="6" t="inlineStr">
        <is>
          <t>Alcance (soma)</t>
        </is>
      </c>
      <c r="B8" s="10" t="n">
        <v>83974</v>
      </c>
      <c r="C8" s="8" t="inlineStr">
        <is>
          <t>Pessoas alcançadas — somado entre anúncios, pode ter sobreposição</t>
        </is>
      </c>
      <c r="D8" s="9" t="n"/>
      <c r="E8" s="9" t="n"/>
    </row>
    <row r="9">
      <c r="A9" s="6" t="inlineStr">
        <is>
          <t>Cliques no link</t>
        </is>
      </c>
      <c r="B9" s="10" t="n">
        <v>516</v>
      </c>
      <c r="C9" s="8" t="inlineStr">
        <is>
          <t>Cliques que levaram ao destino do anúncio</t>
        </is>
      </c>
      <c r="D9" s="9" t="n"/>
      <c r="E9" s="9" t="n"/>
    </row>
    <row r="10">
      <c r="A10" s="6" t="inlineStr">
        <is>
          <t>Leads / resultados (Meta)</t>
        </is>
      </c>
      <c r="B10" s="10" t="n">
        <v>81</v>
      </c>
      <c r="C10" s="8" t="inlineStr">
        <is>
          <t>Coluna 'Resultados' da Meta (Conversas no WhatsApp/Direct iniciadas)</t>
        </is>
      </c>
      <c r="D10" s="9" t="n"/>
      <c r="E10" s="9" t="n"/>
    </row>
    <row r="11">
      <c r="A11" s="11" t="inlineStr">
        <is>
          <t>CTR no link</t>
        </is>
      </c>
      <c r="B11" s="12">
        <f>IFERROR(B9/B7,0)</f>
        <v/>
      </c>
      <c r="C11" s="8" t="inlineStr">
        <is>
          <t>Cliques ÷ impressões</t>
        </is>
      </c>
      <c r="D11" s="13" t="n">
        <v>0.01</v>
      </c>
      <c r="E11" s="11">
        <f>IF(B11&gt;=D11,"✅ Dentro da meta","⚠️ Fora da meta")</f>
        <v/>
      </c>
    </row>
    <row r="12">
      <c r="A12" s="6" t="inlineStr">
        <is>
          <t>CPC</t>
        </is>
      </c>
      <c r="B12" s="7">
        <f>IFERROR(B6/B9,0)</f>
        <v/>
      </c>
      <c r="C12" s="8" t="inlineStr">
        <is>
          <t>Investimento ÷ cliques</t>
        </is>
      </c>
      <c r="D12" s="9" t="n"/>
      <c r="E12" s="9" t="n"/>
    </row>
    <row r="13">
      <c r="A13" s="6" t="inlineStr">
        <is>
          <t>CPM</t>
        </is>
      </c>
      <c r="B13" s="7">
        <f>IFERROR(B6/B7*1000,0)</f>
        <v/>
      </c>
      <c r="C13" s="8" t="inlineStr">
        <is>
          <t>Custo por mil impressões</t>
        </is>
      </c>
      <c r="D13" s="9" t="n"/>
      <c r="E13" s="9" t="n"/>
    </row>
    <row r="14">
      <c r="A14" s="11" t="inlineStr">
        <is>
          <t>Custo por lead/conversa (CPL)</t>
        </is>
      </c>
      <c r="B14" s="14">
        <f>IFERROR(B6/B10,0)</f>
        <v/>
      </c>
      <c r="C14" s="8" t="inlineStr">
        <is>
          <t>Investimento ÷ leads</t>
        </is>
      </c>
      <c r="D14" s="15" t="n">
        <v>40</v>
      </c>
      <c r="E14" s="11">
        <f>IF(AND(B14&lt;=D14,B14&gt;0),"✅ Dentro da meta","⚠️ Fora da meta")</f>
        <v/>
      </c>
    </row>
    <row r="16">
      <c r="A16" s="4" t="inlineStr">
        <is>
          <t>COMERCIAL — TODAS AS ORIGENS</t>
        </is>
      </c>
      <c r="B16" s="5" t="n"/>
      <c r="C16" s="5" t="n"/>
      <c r="D16" s="5" t="n"/>
      <c r="E16" s="5" t="n"/>
    </row>
    <row r="17">
      <c r="A17" s="6" t="inlineStr">
        <is>
          <t>Reuniões agendadas (total)</t>
        </is>
      </c>
      <c r="B17" s="10" t="n">
        <v>36</v>
      </c>
      <c r="C17" s="8" t="inlineStr">
        <is>
          <t>Todas as linhas do mês na planilha de reuniões</t>
        </is>
      </c>
      <c r="D17" s="9" t="n"/>
      <c r="E17" s="9" t="n"/>
    </row>
    <row r="18">
      <c r="A18" s="6" t="inlineStr">
        <is>
          <t>Reuniões realizadas (total)</t>
        </is>
      </c>
      <c r="B18" s="10" t="n">
        <v>35</v>
      </c>
      <c r="C18" s="8" t="inlineStr">
        <is>
          <t>Fechado + Perdido + Em negociação + Reunião feita</t>
        </is>
      </c>
      <c r="D18" s="9" t="n"/>
      <c r="E18" s="9" t="n"/>
    </row>
    <row r="19">
      <c r="A19" s="6" t="inlineStr">
        <is>
          <t>No-show (total)</t>
        </is>
      </c>
      <c r="B19" s="10" t="n">
        <v>0</v>
      </c>
      <c r="C19" s="8" t="inlineStr">
        <is>
          <t>Cliente não compareceu</t>
        </is>
      </c>
      <c r="D19" s="9" t="n"/>
      <c r="E19" s="9" t="n"/>
    </row>
    <row r="20">
      <c r="A20" s="6" t="inlineStr">
        <is>
          <t>Remarcadas + canceladas</t>
        </is>
      </c>
      <c r="B20" s="10" t="n">
        <v>0</v>
      </c>
      <c r="C20" s="8" t="inlineStr">
        <is>
          <t>Não aconteceram no dia marcado</t>
        </is>
      </c>
      <c r="D20" s="9" t="n"/>
      <c r="E20" s="9" t="n"/>
    </row>
    <row r="21">
      <c r="A21" s="6" t="inlineStr">
        <is>
          <t>Ainda vão acontecer</t>
        </is>
      </c>
      <c r="B21" s="10" t="n">
        <v>1</v>
      </c>
      <c r="C21" s="8" t="inlineStr">
        <is>
          <t>Status 'Agendado' — ficam fora das taxas</t>
        </is>
      </c>
      <c r="D21" s="9" t="n"/>
      <c r="E21" s="9" t="n"/>
    </row>
    <row r="22">
      <c r="A22" s="6" t="inlineStr">
        <is>
          <t>Fechados (total)</t>
        </is>
      </c>
      <c r="B22" s="10" t="n">
        <v>9</v>
      </c>
      <c r="C22" s="8" t="inlineStr">
        <is>
          <t>Status padronizado = Fechado</t>
        </is>
      </c>
      <c r="D22" s="9" t="n"/>
      <c r="E22" s="9" t="n"/>
    </row>
    <row r="23">
      <c r="A23" s="6" t="inlineStr">
        <is>
          <t>Em negociação / follow-up (total)</t>
        </is>
      </c>
      <c r="B23" s="10" t="n">
        <v>4</v>
      </c>
      <c r="C23" s="8" t="inlineStr">
        <is>
          <t>Follow-up, proposta, aguardando retorno</t>
        </is>
      </c>
      <c r="D23" s="9" t="n"/>
      <c r="E23" s="9" t="n"/>
    </row>
    <row r="24">
      <c r="A24" s="6" t="inlineStr">
        <is>
          <t>Reunião feita, sem desfecho registrado</t>
        </is>
      </c>
      <c r="B24" s="10" t="n">
        <v>22</v>
      </c>
      <c r="C24" s="8" t="inlineStr">
        <is>
          <t>Etapa 'Reunião Feita' — a conversa aconteceu, mas não diz se fechou ou perdeu</t>
        </is>
      </c>
      <c r="D24" s="9" t="n"/>
      <c r="E24" s="9" t="n"/>
    </row>
    <row r="25">
      <c r="A25" s="6" t="inlineStr">
        <is>
          <t>Perdidos (total)</t>
        </is>
      </c>
      <c r="B25" s="10" t="n">
        <v>0</v>
      </c>
      <c r="C25" s="8" t="inlineStr">
        <is>
          <t>Status padronizado = Perdido</t>
        </is>
      </c>
      <c r="D25" s="9" t="n"/>
      <c r="E25" s="9" t="n"/>
    </row>
    <row r="26">
      <c r="A26" s="6" t="inlineStr">
        <is>
          <t>Agendamento → realização</t>
        </is>
      </c>
      <c r="B26" s="16">
        <f>IFERROR(B18/(B18+B19+B20),0)</f>
        <v/>
      </c>
      <c r="C26" s="8" t="inlineStr">
        <is>
          <t>Realizadas ÷ (realizadas + no-show + remarcadas/canceladas)</t>
        </is>
      </c>
      <c r="D26" s="9" t="n"/>
      <c r="E26" s="9" t="n"/>
    </row>
    <row r="27">
      <c r="A27" s="6" t="inlineStr">
        <is>
          <t>Comparecimento</t>
        </is>
      </c>
      <c r="B27" s="16">
        <f>IFERROR(B18/(B18+B19),0)</f>
        <v/>
      </c>
      <c r="C27" s="8" t="inlineStr">
        <is>
          <t>Realizadas ÷ (realizadas + no-show) — a planilha não registra no-show, por isso tende a 100%</t>
        </is>
      </c>
      <c r="D27" s="9" t="n"/>
      <c r="E27" s="9" t="n"/>
    </row>
    <row r="28">
      <c r="A28" s="17" t="inlineStr">
        <is>
          <t>⭐ ASSERTIVIDADE (fechados ÷ realizadas)</t>
        </is>
      </c>
      <c r="B28" s="18">
        <f>IFERROR(B22/B18,0)</f>
        <v/>
      </c>
      <c r="C28" s="8" t="inlineStr">
        <is>
          <t>De cada 100 reuniões feitas, quantas fecharam</t>
        </is>
      </c>
      <c r="D28" s="13" t="n">
        <v>0.25</v>
      </c>
      <c r="E28" s="19">
        <f>IF(B28&gt;=D28,"✅ Dentro da meta","⚠️ Fora da meta")</f>
        <v/>
      </c>
    </row>
    <row r="29">
      <c r="A29" s="6" t="inlineStr">
        <is>
          <t>Win rate (fechados ÷ decididas)</t>
        </is>
      </c>
      <c r="B29" s="16">
        <f>IFERROR(B22/(B22+B25),0)</f>
        <v/>
      </c>
      <c r="C29" s="8" t="inlineStr">
        <is>
          <t>Considera só quem já decidiu (fechou ou perdeu) — SEM PERDAS REGISTRADAS, por isso não é confiável</t>
        </is>
      </c>
      <c r="D29" s="9" t="n"/>
      <c r="E29" s="9" t="n"/>
    </row>
    <row r="30">
      <c r="A30" s="6" t="inlineStr">
        <is>
          <t>Fechamento sobre agendadas</t>
        </is>
      </c>
      <c r="B30" s="16">
        <f>IFERROR(B22/B17,0)</f>
        <v/>
      </c>
      <c r="C30" s="8" t="inlineStr">
        <is>
          <t>Fechados ÷ tudo que foi agendado</t>
        </is>
      </c>
      <c r="D30" s="9" t="n"/>
      <c r="E30" s="9" t="n"/>
    </row>
    <row r="32">
      <c r="A32" s="4" t="inlineStr">
        <is>
          <t>RESULTADO DO TRÁFEGO PAGO (META × REUNIÕES)</t>
        </is>
      </c>
      <c r="B32" s="5" t="n"/>
      <c r="C32" s="5" t="n"/>
      <c r="D32" s="5" t="n"/>
      <c r="E32" s="5" t="n"/>
    </row>
    <row r="33">
      <c r="A33" s="6" t="inlineStr">
        <is>
          <t>Reuniões agendadas (tráfego pago)</t>
        </is>
      </c>
      <c r="B33" s="10" t="n">
        <v>36</v>
      </c>
      <c r="C33" s="8" t="inlineStr">
        <is>
          <t>Reuniões cuja origem é tráfego pago</t>
        </is>
      </c>
      <c r="D33" s="9" t="n"/>
      <c r="E33" s="9" t="n"/>
    </row>
    <row r="34">
      <c r="A34" s="6" t="inlineStr">
        <is>
          <t>Reuniões realizadas (tráfego pago)</t>
        </is>
      </c>
      <c r="B34" s="10" t="n">
        <v>35</v>
      </c>
      <c r="C34" s="8" t="inlineStr">
        <is>
          <t>Idem, só as realizadas</t>
        </is>
      </c>
      <c r="D34" s="9" t="n"/>
      <c r="E34" s="9" t="n"/>
    </row>
    <row r="35">
      <c r="A35" s="6" t="inlineStr">
        <is>
          <t>Fechados (tráfego pago)</t>
        </is>
      </c>
      <c r="B35" s="10" t="n">
        <v>9</v>
      </c>
      <c r="C35" s="8" t="inlineStr">
        <is>
          <t>Clientes vindos do tráfego pago</t>
        </is>
      </c>
      <c r="D35" s="9" t="n"/>
      <c r="E35" s="9" t="n"/>
    </row>
    <row r="36">
      <c r="A36" s="19" t="inlineStr">
        <is>
          <t>Lead → reunião agendada</t>
        </is>
      </c>
      <c r="B36" s="18">
        <f>IFERROR(B33/B10,0)</f>
        <v/>
      </c>
      <c r="C36" s="8" t="inlineStr">
        <is>
          <t>Reuniões agendadas pagas ÷ leads da Meta</t>
        </is>
      </c>
      <c r="D36" s="13" t="n">
        <v>0.2</v>
      </c>
      <c r="E36" s="19">
        <f>IF(B36&gt;=D36,"✅ Dentro da meta","⚠️ Fora da meta")</f>
        <v/>
      </c>
    </row>
    <row r="37">
      <c r="A37" s="6" t="inlineStr">
        <is>
          <t>Lead → cliente</t>
        </is>
      </c>
      <c r="B37" s="16">
        <f>IFERROR(B35/B10,0)</f>
        <v/>
      </c>
      <c r="C37" s="8" t="inlineStr">
        <is>
          <t>Fechados pagos ÷ leads da Meta</t>
        </is>
      </c>
      <c r="D37" s="9" t="n"/>
      <c r="E37" s="9" t="n"/>
    </row>
    <row r="38">
      <c r="A38" s="6" t="inlineStr">
        <is>
          <t>Custo por reunião realizada</t>
        </is>
      </c>
      <c r="B38" s="7">
        <f>IFERROR(B6/B34,0)</f>
        <v/>
      </c>
      <c r="C38" s="8" t="inlineStr">
        <is>
          <t>Investimento ÷ reuniões realizadas pagas</t>
        </is>
      </c>
      <c r="D38" s="9" t="n"/>
      <c r="E38" s="9" t="n"/>
    </row>
    <row r="39">
      <c r="A39" s="19" t="inlineStr">
        <is>
          <t>CAC (custo por cliente)</t>
        </is>
      </c>
      <c r="B39" s="20">
        <f>IFERROR(B6/B35,0)</f>
        <v/>
      </c>
      <c r="C39" s="8" t="inlineStr">
        <is>
          <t>Investimento ÷ clientes fechados do tráfego pago</t>
        </is>
      </c>
      <c r="D39" s="15" t="n">
        <v>800</v>
      </c>
      <c r="E39" s="19">
        <f>IF(AND(B39&lt;=D39,B39&gt;0),"✅ Dentro da meta","⚠️ Fora da meta")</f>
        <v/>
      </c>
    </row>
    <row r="41">
      <c r="A41" s="2" t="inlineStr">
        <is>
          <t>Metas em azul são editáveis — a coluna Situação recalcula sozinha. Metas vêm da célula de configuração do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0" customWidth="1" min="3" max="3"/>
  </cols>
  <sheetData>
    <row r="1">
      <c r="A1" s="1" t="inlineStr">
        <is>
          <t>Diagnóstico automático — o que os números estão dizendo</t>
        </is>
      </c>
    </row>
    <row r="2">
      <c r="A2" s="2" t="inlineStr">
        <is>
          <t>Período: setembro/2026  •  Gerado em 24/09/2026 15:31</t>
        </is>
      </c>
    </row>
    <row r="4" ht="32" customHeight="1">
      <c r="A4" s="21" t="inlineStr">
        <is>
          <t>Área</t>
        </is>
      </c>
      <c r="B4" s="21" t="inlineStr">
        <is>
          <t>Nível</t>
        </is>
      </c>
      <c r="C4" s="21" t="inlineStr">
        <is>
          <t>Diagnóstico</t>
        </is>
      </c>
    </row>
    <row r="5">
      <c r="A5" s="22" t="inlineStr">
        <is>
          <t>Metas</t>
        </is>
      </c>
      <c r="B5" s="22" t="inlineStr">
        <is>
          <t>⚠️ Abaixo da meta</t>
        </is>
      </c>
      <c r="C5" s="22" t="inlineStr">
        <is>
          <t>CTR no link: 0,4% (meta mínima 1,0%).</t>
        </is>
      </c>
    </row>
    <row r="6">
      <c r="A6" s="23" t="inlineStr">
        <is>
          <t>Metas</t>
        </is>
      </c>
      <c r="B6" s="23" t="inlineStr">
        <is>
          <t>⚠️ Abaixo da meta</t>
        </is>
      </c>
      <c r="C6" s="23" t="inlineStr">
        <is>
          <t>Custo por lead/conversa (CPL): R$ 45,07 (meta máxima R$ 40,00).</t>
        </is>
      </c>
    </row>
    <row r="7">
      <c r="A7" s="22" t="inlineStr">
        <is>
          <t>Metas</t>
        </is>
      </c>
      <c r="B7" s="22" t="inlineStr">
        <is>
          <t>✅ Dentro da meta</t>
        </is>
      </c>
      <c r="C7" s="22" t="inlineStr">
        <is>
          <t>⭐ ASSERTIVIDADE (fechados ÷ realizadas): 25,7% (meta mínima 25,0%).</t>
        </is>
      </c>
    </row>
    <row r="8">
      <c r="A8" s="23" t="inlineStr">
        <is>
          <t>Metas</t>
        </is>
      </c>
      <c r="B8" s="23" t="inlineStr">
        <is>
          <t>✅ Dentro da meta</t>
        </is>
      </c>
      <c r="C8" s="23" t="inlineStr">
        <is>
          <t>Lead → reunião agendada: 44,4% (meta mínima 20,0%).</t>
        </is>
      </c>
    </row>
    <row r="9">
      <c r="A9" s="22" t="inlineStr">
        <is>
          <t>Metas</t>
        </is>
      </c>
      <c r="B9" s="22" t="inlineStr">
        <is>
          <t>✅ Dentro da meta</t>
        </is>
      </c>
      <c r="C9" s="22" t="inlineStr">
        <is>
          <t>CAC (custo por cliente): R$ 405,67 (meta máxima R$ 800,00).</t>
        </is>
      </c>
    </row>
    <row r="10">
      <c r="A10" s="23" t="inlineStr">
        <is>
          <t>Meta</t>
        </is>
      </c>
      <c r="B10" s="23" t="inlineStr">
        <is>
          <t>ℹ️</t>
        </is>
      </c>
      <c r="C10" s="23" t="inlineStr">
        <is>
          <t>Menor CPL: '[GT] [WPP] [VENDAS] [28.10.25]' (R$ 43,31). Maior CPL: '[GT] [WPP] [VENDAS] [18.08.26]' (R$ 48,24).</t>
        </is>
      </c>
    </row>
    <row r="11">
      <c r="A11" s="22" t="inlineStr">
        <is>
          <t>Dados</t>
        </is>
      </c>
      <c r="B11" s="22" t="inlineStr">
        <is>
          <t>⚠️ Atenção</t>
        </is>
      </c>
      <c r="C11" s="22" t="inlineStr">
        <is>
          <t>O relatório da Meta cobre 01/09/2026 a 24/09/2026, diferente do mês analisado (01/09/2026 a 30/09/2026).</t>
        </is>
      </c>
    </row>
    <row r="12">
      <c r="A12" s="23" t="inlineStr">
        <is>
          <t>Pipeline</t>
        </is>
      </c>
      <c r="B12" s="23" t="inlineStr">
        <is>
          <t>⚠️ Atenção</t>
        </is>
      </c>
      <c r="C12" s="23" t="inlineStr">
        <is>
          <t>6 oportunidade(s) em aberto há mais de 15 dias. Vale fazer follow-up ou dar como perdida.</t>
        </is>
      </c>
    </row>
    <row r="13">
      <c r="A13" s="22" t="inlineStr">
        <is>
          <t>Pipeline</t>
        </is>
      </c>
      <c r="B13" s="22" t="inlineStr">
        <is>
          <t>🔥 Oportunidade</t>
        </is>
      </c>
      <c r="C13" s="22" t="inlineStr">
        <is>
          <t>7 cliente(s) quentes para fechar agora: Edgar, Levi, Naiany, Caíke, Erick, Guilherme, Vitor.</t>
        </is>
      </c>
    </row>
    <row r="14">
      <c r="A14" s="23" t="inlineStr">
        <is>
          <t>Perdas</t>
        </is>
      </c>
      <c r="B14" s="23" t="inlineStr">
        <is>
          <t>⚠️ Atenção</t>
        </is>
      </c>
      <c r="C14" s="23" t="inlineStr">
        <is>
          <t>Nenhuma reunião está marcada como perdida. 22 reuniões estão só como 'Reunião feita' e 1 delas têm sinal claro de perda na observação. Sem registrar perdas, a assertividade real fica escondida — crie a etapa 'Perdido' na planilha (ou ligue CLASSIFICAR_PERDA_PELA_OBSERVACAO).</t>
        </is>
      </c>
    </row>
    <row r="15">
      <c r="A15" s="22" t="inlineStr">
        <is>
          <t>Objeções</t>
        </is>
      </c>
      <c r="B15" s="22" t="inlineStr">
        <is>
          <t>ℹ️</t>
        </is>
      </c>
      <c r="C15" s="22" t="inlineStr">
        <is>
          <t>Sinais mais frequentes nas observações: Objeção: preço/orçamento (9 clientes); Promessa de fechamento (9 clientes); Decide com cônjuge/sócio (6 clientes).</t>
        </is>
      </c>
    </row>
    <row r="16">
      <c r="A16" s="23" t="inlineStr">
        <is>
          <t>CAC</t>
        </is>
      </c>
      <c r="B16" s="23" t="inlineStr">
        <is>
          <t>⚠️ Confirmar</t>
        </is>
      </c>
      <c r="C16" s="23" t="inlineStr">
        <is>
          <t>4 dos 9 fechamentos têm a marcação 'Tayron' no nome. Hoje eles contam como tráfego pago (CAC R$ 405,67). Se vieram de indicação/parceiro, o CAC real do anúncio é R$ 730,20 (5 clientes). Para corrigir, preencha MARCACOES_NAO_PAGAS na configuração.</t>
        </is>
      </c>
    </row>
    <row r="17">
      <c r="A17" s="22" t="inlineStr">
        <is>
          <t>Dados</t>
        </is>
      </c>
      <c r="B17" s="22" t="inlineStr">
        <is>
          <t>ℹ️</t>
        </is>
      </c>
      <c r="C17" s="22" t="inlineStr">
        <is>
          <t>Nenhuma reunião registrada como no-show, remarcada ou cancelada. Se isso aconteceu no mês, crie essas etapas na planilha — senão comparecimento e 'agendamento → realização' aparecem em 100% sem refletir a realidade.</t>
        </is>
      </c>
    </row>
    <row r="18">
      <c r="A18" s="23" t="inlineStr">
        <is>
          <t>Dados</t>
        </is>
      </c>
      <c r="B18" s="23" t="inlineStr">
        <is>
          <t>ℹ️</t>
        </is>
      </c>
      <c r="C18" s="23" t="inlineStr">
        <is>
          <t>A planilha não tem coluna de valor do contrato — receita, ticket médio, ROAS e ROI não foram calculados. Adicione uma coluna 'Valor' (mensalidade ou valor do contrato) para liberar esses indicadores.</t>
        </is>
      </c>
    </row>
    <row r="19">
      <c r="A19" s="22" t="inlineStr">
        <is>
          <t>Dados</t>
        </is>
      </c>
      <c r="B19" s="22" t="inlineStr">
        <is>
          <t>ℹ️</t>
        </is>
      </c>
      <c r="C19" s="22" t="inlineStr">
        <is>
          <t>30 de 36 reuniões estão sem 'Quem fez' — a comparação por vendedor fica incompleta.</t>
        </is>
      </c>
    </row>
    <row r="20">
      <c r="A20" s="23" t="inlineStr">
        <is>
          <t>Dados</t>
        </is>
      </c>
      <c r="B20" s="23" t="inlineStr">
        <is>
          <t>ℹ️</t>
        </is>
      </c>
      <c r="C20" s="23" t="inlineStr">
        <is>
          <t>1 reunião(ões) ainda com status 'Agendado' — ficam fora das taxas até serem atualizadas.</t>
        </is>
      </c>
    </row>
    <row r="21">
      <c r="A21" s="22" t="inlineStr">
        <is>
          <t>Dados</t>
        </is>
      </c>
      <c r="B21" s="22" t="inlineStr">
        <is>
          <t>⚠️ Confirmar</t>
        </is>
      </c>
      <c r="C21" s="22" t="inlineStr">
        <is>
          <t>3 cliente(s) marcados como Fechado têm observação de quem ainda vai decidir (Daniel, Malu, Jean). Se não fecharam, a assertividade real é 17,1% e não 25,7%.</t>
        </is>
      </c>
    </row>
  </sheetData>
  <autoFilter ref="A4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Funil completo: do anúncio ao cliente (somente tráfego pago)</t>
        </is>
      </c>
    </row>
    <row r="2">
      <c r="A2" s="2" t="inlineStr">
        <is>
          <t>Período: setembro/2026  •  Gerado em 24/09/2026 15:31</t>
        </is>
      </c>
    </row>
    <row r="4">
      <c r="A4" s="24" t="inlineStr">
        <is>
          <t>Investimento (R$)</t>
        </is>
      </c>
      <c r="B4" s="25" t="n">
        <v>3651.02</v>
      </c>
    </row>
    <row r="6">
      <c r="A6" s="26" t="inlineStr">
        <is>
          <t>Etapa</t>
        </is>
      </c>
      <c r="B6" s="26" t="inlineStr">
        <is>
          <t>Quantidade</t>
        </is>
      </c>
      <c r="C6" s="26" t="inlineStr">
        <is>
          <t>Conversão da etapa anterior (%)</t>
        </is>
      </c>
      <c r="D6" s="26" t="inlineStr">
        <is>
          <t>Conversão desde impressões (%)</t>
        </is>
      </c>
      <c r="E6" s="26" t="inlineStr">
        <is>
          <t>Custo por etapa (R$)</t>
        </is>
      </c>
    </row>
    <row r="7">
      <c r="A7" s="6" t="inlineStr">
        <is>
          <t>Impressões</t>
        </is>
      </c>
      <c r="B7" s="27" t="n">
        <v>144456</v>
      </c>
      <c r="C7" s="28" t="inlineStr"/>
      <c r="D7" s="29">
        <f>IFERROR(B7/$B$7,0)</f>
        <v/>
      </c>
      <c r="E7" s="30">
        <f>IFERROR($B$4/B7,0)</f>
        <v/>
      </c>
    </row>
    <row r="8">
      <c r="A8" s="6" t="inlineStr">
        <is>
          <t>Cliques no link</t>
        </is>
      </c>
      <c r="B8" s="27" t="n">
        <v>516</v>
      </c>
      <c r="C8" s="28">
        <f>IFERROR(B8/B7,0)</f>
        <v/>
      </c>
      <c r="D8" s="29">
        <f>IFERROR(B8/$B$7,0)</f>
        <v/>
      </c>
      <c r="E8" s="30">
        <f>IFERROR($B$4/B8,0)</f>
        <v/>
      </c>
    </row>
    <row r="9">
      <c r="A9" s="6" t="inlineStr">
        <is>
          <t>Leads / conversas (Meta)</t>
        </is>
      </c>
      <c r="B9" s="27" t="n">
        <v>81</v>
      </c>
      <c r="C9" s="28">
        <f>IFERROR(B9/B8,0)</f>
        <v/>
      </c>
      <c r="D9" s="29">
        <f>IFERROR(B9/$B$7,0)</f>
        <v/>
      </c>
      <c r="E9" s="30">
        <f>IFERROR($B$4/B9,0)</f>
        <v/>
      </c>
    </row>
    <row r="10">
      <c r="A10" s="6" t="inlineStr">
        <is>
          <t>Reuniões agendadas (tráfego pago)</t>
        </is>
      </c>
      <c r="B10" s="27" t="n">
        <v>36</v>
      </c>
      <c r="C10" s="28">
        <f>IFERROR(B10/B9,0)</f>
        <v/>
      </c>
      <c r="D10" s="29">
        <f>IFERROR(B10/$B$7,0)</f>
        <v/>
      </c>
      <c r="E10" s="30">
        <f>IFERROR($B$4/B10,0)</f>
        <v/>
      </c>
    </row>
    <row r="11">
      <c r="A11" s="6" t="inlineStr">
        <is>
          <t>Reuniões realizadas (tráfego pago)</t>
        </is>
      </c>
      <c r="B11" s="27" t="n">
        <v>35</v>
      </c>
      <c r="C11" s="28">
        <f>IFERROR(B11/B10,0)</f>
        <v/>
      </c>
      <c r="D11" s="29">
        <f>IFERROR(B11/$B$7,0)</f>
        <v/>
      </c>
      <c r="E11" s="30">
        <f>IFERROR($B$4/B11,0)</f>
        <v/>
      </c>
    </row>
    <row r="12">
      <c r="A12" s="6" t="inlineStr">
        <is>
          <t>Clientes fechados (tráfego pago)</t>
        </is>
      </c>
      <c r="B12" s="27" t="n">
        <v>9</v>
      </c>
      <c r="C12" s="28">
        <f>IFERROR(B12/B11,0)</f>
        <v/>
      </c>
      <c r="D12" s="29">
        <f>IFERROR(B12/$B$7,0)</f>
        <v/>
      </c>
      <c r="E12" s="30">
        <f>IFERROR($B$4/B12,0)</f>
        <v/>
      </c>
    </row>
    <row r="14">
      <c r="A14" s="2" t="inlineStr">
        <is>
          <t>Obs.: impressões ficam fora do gráfico porque a escala esconderia as outras etapas.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8.15" customWidth="1" min="2" max="2"/>
    <col width="11.5" customWidth="1" min="3" max="3"/>
    <col width="10" customWidth="1" min="4" max="4"/>
    <col width="16.25" customWidth="1" min="5" max="5"/>
    <col width="19.1" customWidth="1" min="6" max="6"/>
    <col width="38.1" customWidth="1" min="7" max="7"/>
    <col width="21.95" customWidth="1" min="8" max="8"/>
    <col width="16.25" customWidth="1" min="9" max="9"/>
    <col width="10" customWidth="1" min="10" max="10"/>
    <col width="10" customWidth="1" min="11" max="11"/>
    <col width="15.3" customWidth="1" min="12" max="12"/>
    <col width="18.15" customWidth="1" min="13" max="13"/>
    <col width="20.05" customWidth="1" min="14" max="14"/>
  </cols>
  <sheetData>
    <row r="1">
      <c r="A1" s="1" t="inlineStr">
        <is>
          <t>Meta Ads — desempenho por campanha</t>
        </is>
      </c>
    </row>
    <row r="2">
      <c r="A2" s="2" t="inlineStr">
        <is>
          <t>Período: setembro/2026  •  Gerado em 24/09/2026 15:31</t>
        </is>
      </c>
    </row>
    <row r="3"/>
    <row r="4" ht="32" customHeight="1">
      <c r="A4" s="21" t="inlineStr">
        <is>
          <t>Campanha</t>
        </is>
      </c>
      <c r="B4" s="21" t="inlineStr">
        <is>
          <t>Investimento (R$)</t>
        </is>
      </c>
      <c r="C4" s="21" t="inlineStr">
        <is>
          <t>Impressões</t>
        </is>
      </c>
      <c r="D4" s="21" t="inlineStr">
        <is>
          <t>Alcance</t>
        </is>
      </c>
      <c r="E4" s="21" t="inlineStr">
        <is>
          <t>Cliques no link</t>
        </is>
      </c>
      <c r="F4" s="21" t="inlineStr">
        <is>
          <t>Leads / resultados</t>
        </is>
      </c>
      <c r="G4" s="21" t="inlineStr">
        <is>
          <t>Tipo de resultado</t>
        </is>
      </c>
      <c r="H4" s="21" t="inlineStr">
        <is>
          <t>% do investimento (%)</t>
        </is>
      </c>
      <c r="I4" s="21" t="inlineStr">
        <is>
          <t>CTR no link (%)</t>
        </is>
      </c>
      <c r="J4" s="21" t="inlineStr">
        <is>
          <t>CPC (R$)</t>
        </is>
      </c>
      <c r="K4" s="21" t="inlineStr">
        <is>
          <t>CPM (R$)</t>
        </is>
      </c>
      <c r="L4" s="21" t="inlineStr">
        <is>
          <t>Frequência (x)</t>
        </is>
      </c>
      <c r="M4" s="21" t="inlineStr">
        <is>
          <t>Clique → lead (%)</t>
        </is>
      </c>
      <c r="N4" s="21" t="inlineStr">
        <is>
          <t>Custo por lead (R$)</t>
        </is>
      </c>
    </row>
    <row r="5">
      <c r="A5" s="6" t="inlineStr">
        <is>
          <t>[GT] [WPP] [VENDAS] [28.10.25]</t>
        </is>
      </c>
      <c r="B5" s="30" t="n">
        <v>2252.05</v>
      </c>
      <c r="C5" s="27" t="n">
        <v>91388</v>
      </c>
      <c r="D5" s="27" t="n">
        <v>49846</v>
      </c>
      <c r="E5" s="27" t="n">
        <v>312</v>
      </c>
      <c r="F5" s="27" t="n">
        <v>52</v>
      </c>
      <c r="G5" s="6" t="inlineStr">
        <is>
          <t>Conversas no WhatsApp/Direct iniciadas</t>
        </is>
      </c>
      <c r="H5" s="28">
        <f>IFERROR((B5)/(B$7),0)</f>
        <v/>
      </c>
      <c r="I5" s="28">
        <f>IFERROR((E5)/(C5),0)</f>
        <v/>
      </c>
      <c r="J5" s="30">
        <f>IFERROR((B5)/(E5),0)</f>
        <v/>
      </c>
      <c r="K5" s="30">
        <f>IFERROR((B5)/(C5)*1000,0)</f>
        <v/>
      </c>
      <c r="L5" s="31">
        <f>IFERROR((C5)/(D5),0)</f>
        <v/>
      </c>
      <c r="M5" s="28">
        <f>IFERROR((F5)/(E5),0)</f>
        <v/>
      </c>
      <c r="N5" s="30">
        <f>IFERROR((B5)/(F5),0)</f>
        <v/>
      </c>
    </row>
    <row r="6">
      <c r="A6" s="32" t="inlineStr">
        <is>
          <t>[GT] [WPP] [VENDAS] [18.08.26]</t>
        </is>
      </c>
      <c r="B6" s="33" t="n">
        <v>1398.97</v>
      </c>
      <c r="C6" s="34" t="n">
        <v>53068</v>
      </c>
      <c r="D6" s="34" t="n">
        <v>34128</v>
      </c>
      <c r="E6" s="34" t="n">
        <v>204</v>
      </c>
      <c r="F6" s="34" t="n">
        <v>29</v>
      </c>
      <c r="G6" s="32" t="inlineStr">
        <is>
          <t>Conversas no WhatsApp/Direct iniciadas</t>
        </is>
      </c>
      <c r="H6" s="35">
        <f>IFERROR((B6)/(B$7),0)</f>
        <v/>
      </c>
      <c r="I6" s="35">
        <f>IFERROR((E6)/(C6),0)</f>
        <v/>
      </c>
      <c r="J6" s="33">
        <f>IFERROR((B6)/(E6),0)</f>
        <v/>
      </c>
      <c r="K6" s="33">
        <f>IFERROR((B6)/(C6)*1000,0)</f>
        <v/>
      </c>
      <c r="L6" s="36">
        <f>IFERROR((C6)/(D6),0)</f>
        <v/>
      </c>
      <c r="M6" s="35">
        <f>IFERROR((F6)/(E6),0)</f>
        <v/>
      </c>
      <c r="N6" s="33">
        <f>IFERROR((B6)/(F6),0)</f>
        <v/>
      </c>
    </row>
    <row r="7">
      <c r="A7" s="37" t="inlineStr">
        <is>
          <t>TOTAL</t>
        </is>
      </c>
      <c r="B7" s="38">
        <f>SUM(B5:B6)</f>
        <v/>
      </c>
      <c r="C7" s="39">
        <f>SUM(C5:C6)</f>
        <v/>
      </c>
      <c r="D7" s="39">
        <f>SUM(D5:D6)</f>
        <v/>
      </c>
      <c r="E7" s="39">
        <f>SUM(E5:E6)</f>
        <v/>
      </c>
      <c r="F7" s="39">
        <f>SUM(F5:F6)</f>
        <v/>
      </c>
      <c r="G7" s="37" t="n"/>
      <c r="H7" s="40">
        <f>IFERROR((B7)/(B$7),0)</f>
        <v/>
      </c>
      <c r="I7" s="40">
        <f>IFERROR((E7)/(C7),0)</f>
        <v/>
      </c>
      <c r="J7" s="38">
        <f>IFERROR((B7)/(E7),0)</f>
        <v/>
      </c>
      <c r="K7" s="38">
        <f>IFERROR((B7)/(C7)*1000,0)</f>
        <v/>
      </c>
      <c r="L7" s="41">
        <f>IFERROR((C7)/(D7),0)</f>
        <v/>
      </c>
      <c r="M7" s="40">
        <f>IFERROR((F7)/(E7),0)</f>
        <v/>
      </c>
      <c r="N7" s="38">
        <f>IFERROR((B7)/(F7),0)</f>
        <v/>
      </c>
    </row>
    <row r="8"/>
    <row r="9">
      <c r="A9" s="2" t="inlineStr">
        <is>
          <t>Alcance e frequência no TOTAL são somas entre campanhas — podem conter pessoas repetidas.</t>
        </is>
      </c>
    </row>
  </sheetData>
  <autoFilter ref="A4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Qual campanha realmente vende — Meta cruzada com as reuniões</t>
        </is>
      </c>
    </row>
    <row r="2">
      <c r="A2" s="2" t="inlineStr">
        <is>
          <t>Período: setembro/2026  •  Gerado em 24/09/2026 15:31</t>
        </is>
      </c>
    </row>
    <row r="3"/>
    <row r="4">
      <c r="A4" s="2" t="inlineStr">
        <is>
          <t>A planilha de reuniões não tem a coluna 'Campanha'. Registre de qual campanha veio cada lead para liberar esta aba.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3.8" customWidth="1" min="1" max="1"/>
    <col width="25.75" customWidth="1" min="2" max="2"/>
    <col width="15.3" customWidth="1" min="3" max="3"/>
    <col width="14.35" customWidth="1" min="4" max="4"/>
    <col width="10" customWidth="1" min="5" max="5"/>
  </cols>
  <sheetData>
    <row r="1">
      <c r="A1" s="1" t="inlineStr">
        <is>
          <t>Distribuição dos status das reuniões</t>
        </is>
      </c>
    </row>
    <row r="2">
      <c r="A2" s="2" t="inlineStr">
        <is>
          <t>Período: setembro/2026  •  Gerado em 24/09/2026 15:31</t>
        </is>
      </c>
    </row>
    <row r="3"/>
    <row r="4">
      <c r="A4" s="42" t="inlineStr">
        <is>
          <t>Status padronizado</t>
        </is>
      </c>
    </row>
    <row r="5" ht="32" customHeight="1">
      <c r="A5" s="21" t="inlineStr">
        <is>
          <t>Status padronizado</t>
        </is>
      </c>
      <c r="B5" s="21" t="inlineStr">
        <is>
          <t>Quantidade</t>
        </is>
      </c>
      <c r="C5" s="21" t="inlineStr">
        <is>
          <t>% do total (%)</t>
        </is>
      </c>
    </row>
    <row r="6">
      <c r="A6" s="6" t="inlineStr">
        <is>
          <t>Fechado</t>
        </is>
      </c>
      <c r="B6" s="27" t="n">
        <v>9</v>
      </c>
      <c r="C6" s="28">
        <f>IFERROR((B6)/(B$10),0)</f>
        <v/>
      </c>
    </row>
    <row r="7">
      <c r="A7" s="32" t="inlineStr">
        <is>
          <t>Em negociação</t>
        </is>
      </c>
      <c r="B7" s="34" t="n">
        <v>4</v>
      </c>
      <c r="C7" s="35">
        <f>IFERROR((B7)/(B$10),0)</f>
        <v/>
      </c>
    </row>
    <row r="8">
      <c r="A8" s="6" t="inlineStr">
        <is>
          <t>Reunião feita</t>
        </is>
      </c>
      <c r="B8" s="27" t="n">
        <v>22</v>
      </c>
      <c r="C8" s="28">
        <f>IFERROR((B8)/(B$10),0)</f>
        <v/>
      </c>
    </row>
    <row r="9">
      <c r="A9" s="32" t="inlineStr">
        <is>
          <t>Agendado</t>
        </is>
      </c>
      <c r="B9" s="34" t="n">
        <v>1</v>
      </c>
      <c r="C9" s="35">
        <f>IFERROR((B9)/(B$10),0)</f>
        <v/>
      </c>
    </row>
    <row r="10">
      <c r="A10" s="37" t="inlineStr">
        <is>
          <t>TOTAL</t>
        </is>
      </c>
      <c r="B10" s="39">
        <f>SUM(B6:B9)</f>
        <v/>
      </c>
      <c r="C10" s="40">
        <f>IFERROR((B10)/(B$10),0)</f>
        <v/>
      </c>
    </row>
    <row r="11"/>
    <row r="12">
      <c r="A12" s="42" t="inlineStr">
        <is>
          <t>Como cada texto da planilha foi classificado</t>
        </is>
      </c>
    </row>
    <row r="13" ht="32" customHeight="1">
      <c r="A13" s="21" t="inlineStr">
        <is>
          <t>Status padronizado</t>
        </is>
      </c>
      <c r="B13" s="21" t="inlineStr">
        <is>
          <t>Texto escrito na planilha</t>
        </is>
      </c>
      <c r="C13" s="21" t="inlineStr">
        <is>
          <t>Quantidade</t>
        </is>
      </c>
    </row>
    <row r="14">
      <c r="A14" s="6" t="inlineStr">
        <is>
          <t>Agendado</t>
        </is>
      </c>
      <c r="B14" s="6" t="inlineStr">
        <is>
          <t>Agendado</t>
        </is>
      </c>
      <c r="C14" s="27" t="n">
        <v>1</v>
      </c>
    </row>
    <row r="15">
      <c r="A15" s="32" t="inlineStr">
        <is>
          <t>Em negociação</t>
        </is>
      </c>
      <c r="B15" s="32" t="inlineStr">
        <is>
          <t>Follow Up</t>
        </is>
      </c>
      <c r="C15" s="34" t="n">
        <v>4</v>
      </c>
    </row>
    <row r="16">
      <c r="A16" s="6" t="inlineStr">
        <is>
          <t>Fechado</t>
        </is>
      </c>
      <c r="B16" s="6" t="inlineStr">
        <is>
          <t>Fechado</t>
        </is>
      </c>
      <c r="C16" s="27" t="n">
        <v>9</v>
      </c>
    </row>
    <row r="17">
      <c r="A17" s="32" t="inlineStr">
        <is>
          <t>Reunião feita</t>
        </is>
      </c>
      <c r="B17" s="32" t="inlineStr">
        <is>
          <t>Reunião Feita</t>
        </is>
      </c>
      <c r="C17" s="34" t="n">
        <v>22</v>
      </c>
    </row>
    <row r="18">
      <c r="A18" s="37" t="inlineStr">
        <is>
          <t>TOTAL</t>
        </is>
      </c>
      <c r="B18" s="37" t="n"/>
      <c r="C18" s="39">
        <f>SUM(C14:C17)</f>
        <v/>
      </c>
    </row>
    <row r="19"/>
    <row r="20">
      <c r="A20" s="42" t="inlineStr">
        <is>
          <t>Status × responsável</t>
        </is>
      </c>
    </row>
    <row r="21" ht="32" customHeight="1">
      <c r="A21" s="21" t="inlineStr">
        <is>
          <t>Responsável</t>
        </is>
      </c>
      <c r="B21" s="21" t="inlineStr">
        <is>
          <t>Fechado</t>
        </is>
      </c>
      <c r="C21" s="21" t="inlineStr">
        <is>
          <t>Em negociação</t>
        </is>
      </c>
      <c r="D21" s="21" t="inlineStr">
        <is>
          <t>Reunião feita</t>
        </is>
      </c>
      <c r="E21" s="21" t="inlineStr">
        <is>
          <t>Agendado</t>
        </is>
      </c>
    </row>
    <row r="22">
      <c r="A22" s="6" t="inlineStr">
        <is>
          <t>(sem responsável)</t>
        </is>
      </c>
      <c r="B22" s="27" t="n">
        <v>8</v>
      </c>
      <c r="C22" s="27" t="n">
        <v>4</v>
      </c>
      <c r="D22" s="27" t="n">
        <v>18</v>
      </c>
      <c r="E22" s="27" t="n">
        <v>0</v>
      </c>
    </row>
    <row r="23">
      <c r="A23" s="32" t="inlineStr">
        <is>
          <t>Cláudio</t>
        </is>
      </c>
      <c r="B23" s="34" t="n">
        <v>1</v>
      </c>
      <c r="C23" s="34" t="n">
        <v>0</v>
      </c>
      <c r="D23" s="34" t="n">
        <v>4</v>
      </c>
      <c r="E23" s="34" t="n">
        <v>1</v>
      </c>
    </row>
    <row r="24">
      <c r="A24" s="37" t="inlineStr">
        <is>
          <t>TOTAL</t>
        </is>
      </c>
      <c r="B24" s="39">
        <f>SUM(B22:B23)</f>
        <v/>
      </c>
      <c r="C24" s="39">
        <f>SUM(C22:C23)</f>
        <v/>
      </c>
      <c r="D24" s="39">
        <f>SUM(D22:D23)</f>
        <v/>
      </c>
      <c r="E24" s="39">
        <f>SUM(E22:E23)</f>
        <v/>
      </c>
    </row>
  </sheetData>
  <autoFilter ref="A5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15" customWidth="1" min="1" max="1"/>
    <col width="19.1" customWidth="1" min="2" max="2"/>
    <col width="20.05" customWidth="1" min="3" max="3"/>
    <col width="10" customWidth="1" min="4" max="4"/>
    <col width="14.35" customWidth="1" min="5" max="5"/>
    <col width="24" customWidth="1" min="6" max="6"/>
    <col width="10" customWidth="1" min="7" max="7"/>
    <col width="10" customWidth="1" min="8" max="8"/>
    <col width="11.5" customWidth="1" min="9" max="9"/>
    <col width="11.5" customWidth="1" min="10" max="10"/>
    <col width="20.05" customWidth="1" min="11" max="11"/>
    <col width="18.15" customWidth="1" min="12" max="12"/>
    <col width="19.1" customWidth="1" min="13" max="13"/>
    <col width="24" customWidth="1" min="14" max="14"/>
    <col width="24" customWidth="1" min="15" max="15"/>
    <col width="24" customWidth="1" min="16" max="16"/>
    <col width="24" customWidth="1" min="17" max="17"/>
    <col width="18.15" customWidth="1" min="18" max="18"/>
    <col width="23.85" customWidth="1" min="19" max="19"/>
    <col width="24" customWidth="1" min="20" max="20"/>
    <col width="12.45" customWidth="1" min="21" max="21"/>
  </cols>
  <sheetData>
    <row r="1">
      <c r="A1" s="1" t="inlineStr">
        <is>
          <t>Assertividade por responsável (closer / vendedor)</t>
        </is>
      </c>
    </row>
    <row r="2">
      <c r="A2" s="2" t="inlineStr">
        <is>
          <t>Período: setembro/2026  •  Gerado em 24/09/2026 15:31</t>
        </is>
      </c>
    </row>
    <row r="3"/>
    <row r="4" ht="32" customHeight="1">
      <c r="A4" s="21" t="inlineStr">
        <is>
          <t>Responsável</t>
        </is>
      </c>
      <c r="B4" s="21" t="inlineStr">
        <is>
          <t>Reuniões agendadas</t>
        </is>
      </c>
      <c r="C4" s="21" t="inlineStr">
        <is>
          <t>Reuniões realizadas</t>
        </is>
      </c>
      <c r="D4" s="21" t="inlineStr">
        <is>
          <t>Fechados</t>
        </is>
      </c>
      <c r="E4" s="21" t="inlineStr">
        <is>
          <t>Em negociação</t>
        </is>
      </c>
      <c r="F4" s="21" t="inlineStr">
        <is>
          <t>Reunião feita sem desfecho</t>
        </is>
      </c>
      <c r="G4" s="21" t="inlineStr">
        <is>
          <t>Perdidos</t>
        </is>
      </c>
      <c r="H4" s="21" t="inlineStr">
        <is>
          <t>No-show</t>
        </is>
      </c>
      <c r="I4" s="21" t="inlineStr">
        <is>
          <t>Remarcadas</t>
        </is>
      </c>
      <c r="J4" s="21" t="inlineStr">
        <is>
          <t>Canceladas</t>
        </is>
      </c>
      <c r="K4" s="21" t="inlineStr">
        <is>
          <t>Ainda vão acontecer</t>
        </is>
      </c>
      <c r="L4" s="21" t="inlineStr">
        <is>
          <t>Não classificadas</t>
        </is>
      </c>
      <c r="M4" s="21" t="inlineStr">
        <is>
          <t>Comparecimento (%)</t>
        </is>
      </c>
      <c r="N4" s="21" t="inlineStr">
        <is>
          <t>Agendamento → realização (%)</t>
        </is>
      </c>
      <c r="O4" s="21" t="inlineStr">
        <is>
          <t>Assertividade - fechamento s/ realizadas (%)</t>
        </is>
      </c>
      <c r="P4" s="21" t="inlineStr">
        <is>
          <t>Win rate - fechados s/ decididas (%)</t>
        </is>
      </c>
      <c r="Q4" s="21" t="inlineStr">
        <is>
          <t>Fechamento s/ agendadas (%)</t>
        </is>
      </c>
      <c r="R4" s="21" t="inlineStr">
        <is>
          <t>Taxa de perda (%)</t>
        </is>
      </c>
      <c r="S4" s="21" t="inlineStr">
        <is>
          <t>Ainda em negociação (%)</t>
        </is>
      </c>
      <c r="T4" s="21" t="inlineStr">
        <is>
          <t>Sem desfecho registrado (%)</t>
        </is>
      </c>
      <c r="U4" s="21" t="inlineStr">
        <is>
          <t>No-show (%)</t>
        </is>
      </c>
    </row>
    <row r="5">
      <c r="A5" s="6" t="inlineStr">
        <is>
          <t>(sem responsável)</t>
        </is>
      </c>
      <c r="B5" s="27" t="n">
        <v>30</v>
      </c>
      <c r="C5" s="27" t="n">
        <v>30</v>
      </c>
      <c r="D5" s="27" t="n">
        <v>8</v>
      </c>
      <c r="E5" s="27" t="n">
        <v>4</v>
      </c>
      <c r="F5" s="27" t="n">
        <v>18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0</v>
      </c>
      <c r="L5" s="27" t="n">
        <v>0</v>
      </c>
      <c r="M5" s="28">
        <f>IFERROR((C5)/(C5+H5),0)</f>
        <v/>
      </c>
      <c r="N5" s="28">
        <f>IFERROR((C5)/(C5+H5+I5+J5),0)</f>
        <v/>
      </c>
      <c r="O5" s="28">
        <f>IFERROR((D5)/(C5),0)</f>
        <v/>
      </c>
      <c r="P5" s="28">
        <f>IFERROR((D5)/(D5+G5),0)</f>
        <v/>
      </c>
      <c r="Q5" s="28">
        <f>IFERROR((D5)/(B5),0)</f>
        <v/>
      </c>
      <c r="R5" s="28">
        <f>IFERROR((G5)/(C5),0)</f>
        <v/>
      </c>
      <c r="S5" s="28">
        <f>IFERROR((E5)/(C5),0)</f>
        <v/>
      </c>
      <c r="T5" s="28">
        <f>IFERROR((F5)/(C5),0)</f>
        <v/>
      </c>
      <c r="U5" s="28">
        <f>IFERROR((H5)/(B5),0)</f>
        <v/>
      </c>
    </row>
    <row r="6">
      <c r="A6" s="32" t="inlineStr">
        <is>
          <t>Cláudio</t>
        </is>
      </c>
      <c r="B6" s="34" t="n">
        <v>6</v>
      </c>
      <c r="C6" s="34" t="n">
        <v>5</v>
      </c>
      <c r="D6" s="34" t="n">
        <v>1</v>
      </c>
      <c r="E6" s="34" t="n">
        <v>0</v>
      </c>
      <c r="F6" s="34" t="n">
        <v>4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1</v>
      </c>
      <c r="L6" s="34" t="n">
        <v>0</v>
      </c>
      <c r="M6" s="35">
        <f>IFERROR((C6)/(C6+H6),0)</f>
        <v/>
      </c>
      <c r="N6" s="35">
        <f>IFERROR((C6)/(C6+H6+I6+J6),0)</f>
        <v/>
      </c>
      <c r="O6" s="35">
        <f>IFERROR((D6)/(C6),0)</f>
        <v/>
      </c>
      <c r="P6" s="35">
        <f>IFERROR((D6)/(D6+G6),0)</f>
        <v/>
      </c>
      <c r="Q6" s="35">
        <f>IFERROR((D6)/(B6),0)</f>
        <v/>
      </c>
      <c r="R6" s="35">
        <f>IFERROR((G6)/(C6),0)</f>
        <v/>
      </c>
      <c r="S6" s="35">
        <f>IFERROR((E6)/(C6),0)</f>
        <v/>
      </c>
      <c r="T6" s="35">
        <f>IFERROR((F6)/(C6),0)</f>
        <v/>
      </c>
      <c r="U6" s="35">
        <f>IFERROR((H6)/(B6),0)</f>
        <v/>
      </c>
    </row>
    <row r="7">
      <c r="A7" s="37" t="inlineStr">
        <is>
          <t>TOTAL</t>
        </is>
      </c>
      <c r="B7" s="39">
        <f>SUM(B5:B6)</f>
        <v/>
      </c>
      <c r="C7" s="39">
        <f>SUM(C5:C6)</f>
        <v/>
      </c>
      <c r="D7" s="39">
        <f>SUM(D5:D6)</f>
        <v/>
      </c>
      <c r="E7" s="39">
        <f>SUM(E5:E6)</f>
        <v/>
      </c>
      <c r="F7" s="39">
        <f>SUM(F5:F6)</f>
        <v/>
      </c>
      <c r="G7" s="39">
        <f>SUM(G5:G6)</f>
        <v/>
      </c>
      <c r="H7" s="39">
        <f>SUM(H5:H6)</f>
        <v/>
      </c>
      <c r="I7" s="39">
        <f>SUM(I5:I6)</f>
        <v/>
      </c>
      <c r="J7" s="39">
        <f>SUM(J5:J6)</f>
        <v/>
      </c>
      <c r="K7" s="39">
        <f>SUM(K5:K6)</f>
        <v/>
      </c>
      <c r="L7" s="39">
        <f>SUM(L5:L6)</f>
        <v/>
      </c>
      <c r="M7" s="40">
        <f>IFERROR((C7)/(C7+H7),0)</f>
        <v/>
      </c>
      <c r="N7" s="40">
        <f>IFERROR((C7)/(C7+H7+I7+J7),0)</f>
        <v/>
      </c>
      <c r="O7" s="40">
        <f>IFERROR((D7)/(C7),0)</f>
        <v/>
      </c>
      <c r="P7" s="40">
        <f>IFERROR((D7)/(D7+G7),0)</f>
        <v/>
      </c>
      <c r="Q7" s="40">
        <f>IFERROR((D7)/(B7),0)</f>
        <v/>
      </c>
      <c r="R7" s="40">
        <f>IFERROR((G7)/(C7),0)</f>
        <v/>
      </c>
      <c r="S7" s="40">
        <f>IFERROR((E7)/(C7),0)</f>
        <v/>
      </c>
      <c r="T7" s="40">
        <f>IFERROR((F7)/(C7),0)</f>
        <v/>
      </c>
      <c r="U7" s="40">
        <f>IFERROR((H7)/(B7),0)</f>
        <v/>
      </c>
    </row>
  </sheetData>
  <autoFilter ref="A4:U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9.1" customWidth="1" min="2" max="2"/>
    <col width="20.05" customWidth="1" min="3" max="3"/>
    <col width="10" customWidth="1" min="4" max="4"/>
    <col width="14.35" customWidth="1" min="5" max="5"/>
    <col width="24" customWidth="1" min="6" max="6"/>
    <col width="10" customWidth="1" min="7" max="7"/>
    <col width="10" customWidth="1" min="8" max="8"/>
    <col width="11.5" customWidth="1" min="9" max="9"/>
    <col width="11.5" customWidth="1" min="10" max="10"/>
    <col width="20.05" customWidth="1" min="11" max="11"/>
    <col width="18.15" customWidth="1" min="12" max="12"/>
    <col width="19.1" customWidth="1" min="13" max="13"/>
    <col width="24" customWidth="1" min="14" max="14"/>
    <col width="24" customWidth="1" min="15" max="15"/>
    <col width="24" customWidth="1" min="16" max="16"/>
    <col width="24" customWidth="1" min="17" max="17"/>
    <col width="18.15" customWidth="1" min="18" max="18"/>
    <col width="23.85" customWidth="1" min="19" max="19"/>
    <col width="24" customWidth="1" min="20" max="20"/>
    <col width="12.45" customWidth="1" min="21" max="21"/>
  </cols>
  <sheetData>
    <row r="1">
      <c r="A1" s="1" t="inlineStr">
        <is>
          <t>Assertividade por marcação no nome do cliente (ex.: '- Tayron')</t>
        </is>
      </c>
    </row>
    <row r="2">
      <c r="A2" s="2" t="inlineStr">
        <is>
          <t>Período: setembro/2026  •  Gerado em 24/09/2026 15:31</t>
        </is>
      </c>
    </row>
    <row r="3"/>
    <row r="4" ht="32" customHeight="1">
      <c r="A4" s="21" t="inlineStr">
        <is>
          <t>Marcação no nome</t>
        </is>
      </c>
      <c r="B4" s="21" t="inlineStr">
        <is>
          <t>Reuniões agendadas</t>
        </is>
      </c>
      <c r="C4" s="21" t="inlineStr">
        <is>
          <t>Reuniões realizadas</t>
        </is>
      </c>
      <c r="D4" s="21" t="inlineStr">
        <is>
          <t>Fechados</t>
        </is>
      </c>
      <c r="E4" s="21" t="inlineStr">
        <is>
          <t>Em negociação</t>
        </is>
      </c>
      <c r="F4" s="21" t="inlineStr">
        <is>
          <t>Reunião feita sem desfecho</t>
        </is>
      </c>
      <c r="G4" s="21" t="inlineStr">
        <is>
          <t>Perdidos</t>
        </is>
      </c>
      <c r="H4" s="21" t="inlineStr">
        <is>
          <t>No-show</t>
        </is>
      </c>
      <c r="I4" s="21" t="inlineStr">
        <is>
          <t>Remarcadas</t>
        </is>
      </c>
      <c r="J4" s="21" t="inlineStr">
        <is>
          <t>Canceladas</t>
        </is>
      </c>
      <c r="K4" s="21" t="inlineStr">
        <is>
          <t>Ainda vão acontecer</t>
        </is>
      </c>
      <c r="L4" s="21" t="inlineStr">
        <is>
          <t>Não classificadas</t>
        </is>
      </c>
      <c r="M4" s="21" t="inlineStr">
        <is>
          <t>Comparecimento (%)</t>
        </is>
      </c>
      <c r="N4" s="21" t="inlineStr">
        <is>
          <t>Agendamento → realização (%)</t>
        </is>
      </c>
      <c r="O4" s="21" t="inlineStr">
        <is>
          <t>Assertividade - fechamento s/ realizadas (%)</t>
        </is>
      </c>
      <c r="P4" s="21" t="inlineStr">
        <is>
          <t>Win rate - fechados s/ decididas (%)</t>
        </is>
      </c>
      <c r="Q4" s="21" t="inlineStr">
        <is>
          <t>Fechamento s/ agendadas (%)</t>
        </is>
      </c>
      <c r="R4" s="21" t="inlineStr">
        <is>
          <t>Taxa de perda (%)</t>
        </is>
      </c>
      <c r="S4" s="21" t="inlineStr">
        <is>
          <t>Ainda em negociação (%)</t>
        </is>
      </c>
      <c r="T4" s="21" t="inlineStr">
        <is>
          <t>Sem desfecho registrado (%)</t>
        </is>
      </c>
      <c r="U4" s="21" t="inlineStr">
        <is>
          <t>No-show (%)</t>
        </is>
      </c>
    </row>
    <row r="5">
      <c r="A5" s="6" t="inlineStr">
        <is>
          <t>(sem marcação)</t>
        </is>
      </c>
      <c r="B5" s="27" t="n">
        <v>31</v>
      </c>
      <c r="C5" s="27" t="n">
        <v>30</v>
      </c>
      <c r="D5" s="27" t="n">
        <v>5</v>
      </c>
      <c r="E5" s="27" t="n">
        <v>4</v>
      </c>
      <c r="F5" s="27" t="n">
        <v>21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1</v>
      </c>
      <c r="L5" s="27" t="n">
        <v>0</v>
      </c>
      <c r="M5" s="28">
        <f>IFERROR((C5)/(C5+H5),0)</f>
        <v/>
      </c>
      <c r="N5" s="28">
        <f>IFERROR((C5)/(C5+H5+I5+J5),0)</f>
        <v/>
      </c>
      <c r="O5" s="28">
        <f>IFERROR((D5)/(C5),0)</f>
        <v/>
      </c>
      <c r="P5" s="28">
        <f>IFERROR((D5)/(D5+G5),0)</f>
        <v/>
      </c>
      <c r="Q5" s="28">
        <f>IFERROR((D5)/(B5),0)</f>
        <v/>
      </c>
      <c r="R5" s="28">
        <f>IFERROR((G5)/(C5),0)</f>
        <v/>
      </c>
      <c r="S5" s="28">
        <f>IFERROR((E5)/(C5),0)</f>
        <v/>
      </c>
      <c r="T5" s="28">
        <f>IFERROR((F5)/(C5),0)</f>
        <v/>
      </c>
      <c r="U5" s="28">
        <f>IFERROR((H5)/(B5),0)</f>
        <v/>
      </c>
    </row>
    <row r="6">
      <c r="A6" s="32" t="inlineStr">
        <is>
          <t>Tayron</t>
        </is>
      </c>
      <c r="B6" s="34" t="n">
        <v>5</v>
      </c>
      <c r="C6" s="34" t="n">
        <v>5</v>
      </c>
      <c r="D6" s="34" t="n">
        <v>4</v>
      </c>
      <c r="E6" s="34" t="n">
        <v>0</v>
      </c>
      <c r="F6" s="34" t="n">
        <v>1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5">
        <f>IFERROR((C6)/(C6+H6),0)</f>
        <v/>
      </c>
      <c r="N6" s="35">
        <f>IFERROR((C6)/(C6+H6+I6+J6),0)</f>
        <v/>
      </c>
      <c r="O6" s="35">
        <f>IFERROR((D6)/(C6),0)</f>
        <v/>
      </c>
      <c r="P6" s="35">
        <f>IFERROR((D6)/(D6+G6),0)</f>
        <v/>
      </c>
      <c r="Q6" s="35">
        <f>IFERROR((D6)/(B6),0)</f>
        <v/>
      </c>
      <c r="R6" s="35">
        <f>IFERROR((G6)/(C6),0)</f>
        <v/>
      </c>
      <c r="S6" s="35">
        <f>IFERROR((E6)/(C6),0)</f>
        <v/>
      </c>
      <c r="T6" s="35">
        <f>IFERROR((F6)/(C6),0)</f>
        <v/>
      </c>
      <c r="U6" s="35">
        <f>IFERROR((H6)/(B6),0)</f>
        <v/>
      </c>
    </row>
    <row r="7">
      <c r="A7" s="37" t="inlineStr">
        <is>
          <t>TOTAL</t>
        </is>
      </c>
      <c r="B7" s="39">
        <f>SUM(B5:B6)</f>
        <v/>
      </c>
      <c r="C7" s="39">
        <f>SUM(C5:C6)</f>
        <v/>
      </c>
      <c r="D7" s="39">
        <f>SUM(D5:D6)</f>
        <v/>
      </c>
      <c r="E7" s="39">
        <f>SUM(E5:E6)</f>
        <v/>
      </c>
      <c r="F7" s="39">
        <f>SUM(F5:F6)</f>
        <v/>
      </c>
      <c r="G7" s="39">
        <f>SUM(G5:G6)</f>
        <v/>
      </c>
      <c r="H7" s="39">
        <f>SUM(H5:H6)</f>
        <v/>
      </c>
      <c r="I7" s="39">
        <f>SUM(I5:I6)</f>
        <v/>
      </c>
      <c r="J7" s="39">
        <f>SUM(J5:J6)</f>
        <v/>
      </c>
      <c r="K7" s="39">
        <f>SUM(K5:K6)</f>
        <v/>
      </c>
      <c r="L7" s="39">
        <f>SUM(L5:L6)</f>
        <v/>
      </c>
      <c r="M7" s="40">
        <f>IFERROR((C7)/(C7+H7),0)</f>
        <v/>
      </c>
      <c r="N7" s="40">
        <f>IFERROR((C7)/(C7+H7+I7+J7),0)</f>
        <v/>
      </c>
      <c r="O7" s="40">
        <f>IFERROR((D7)/(C7),0)</f>
        <v/>
      </c>
      <c r="P7" s="40">
        <f>IFERROR((D7)/(D7+G7),0)</f>
        <v/>
      </c>
      <c r="Q7" s="40">
        <f>IFERROR((D7)/(B7),0)</f>
        <v/>
      </c>
      <c r="R7" s="40">
        <f>IFERROR((G7)/(C7),0)</f>
        <v/>
      </c>
      <c r="S7" s="40">
        <f>IFERROR((E7)/(C7),0)</f>
        <v/>
      </c>
      <c r="T7" s="40">
        <f>IFERROR((F7)/(C7),0)</f>
        <v/>
      </c>
      <c r="U7" s="40">
        <f>IFERROR((H7)/(B7),0)</f>
        <v/>
      </c>
    </row>
  </sheetData>
  <autoFilter ref="A4:U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.1" customWidth="1" min="2" max="2"/>
    <col width="20.05" customWidth="1" min="3" max="3"/>
    <col width="10" customWidth="1" min="4" max="4"/>
    <col width="14.35" customWidth="1" min="5" max="5"/>
    <col width="24" customWidth="1" min="6" max="6"/>
    <col width="10" customWidth="1" min="7" max="7"/>
    <col width="10" customWidth="1" min="8" max="8"/>
    <col width="11.5" customWidth="1" min="9" max="9"/>
    <col width="11.5" customWidth="1" min="10" max="10"/>
    <col width="20.05" customWidth="1" min="11" max="11"/>
    <col width="18.15" customWidth="1" min="12" max="12"/>
    <col width="19.1" customWidth="1" min="13" max="13"/>
    <col width="24" customWidth="1" min="14" max="14"/>
    <col width="24" customWidth="1" min="15" max="15"/>
    <col width="24" customWidth="1" min="16" max="16"/>
    <col width="24" customWidth="1" min="17" max="17"/>
    <col width="18.15" customWidth="1" min="18" max="18"/>
    <col width="23.85" customWidth="1" min="19" max="19"/>
    <col width="24" customWidth="1" min="20" max="20"/>
    <col width="12.45" customWidth="1" min="21" max="21"/>
  </cols>
  <sheetData>
    <row r="1">
      <c r="A1" s="1" t="inlineStr">
        <is>
          <t>Evolução semana a semana</t>
        </is>
      </c>
    </row>
    <row r="2">
      <c r="A2" s="2" t="inlineStr">
        <is>
          <t>Período: setembro/2026  •  Gerado em 24/09/2026 15:31</t>
        </is>
      </c>
    </row>
    <row r="3"/>
    <row r="4" ht="32" customHeight="1">
      <c r="A4" s="21" t="inlineStr">
        <is>
          <t>Semana</t>
        </is>
      </c>
      <c r="B4" s="21" t="inlineStr">
        <is>
          <t>Reuniões agendadas</t>
        </is>
      </c>
      <c r="C4" s="21" t="inlineStr">
        <is>
          <t>Reuniões realizadas</t>
        </is>
      </c>
      <c r="D4" s="21" t="inlineStr">
        <is>
          <t>Fechados</t>
        </is>
      </c>
      <c r="E4" s="21" t="inlineStr">
        <is>
          <t>Em negociação</t>
        </is>
      </c>
      <c r="F4" s="21" t="inlineStr">
        <is>
          <t>Reunião feita sem desfecho</t>
        </is>
      </c>
      <c r="G4" s="21" t="inlineStr">
        <is>
          <t>Perdidos</t>
        </is>
      </c>
      <c r="H4" s="21" t="inlineStr">
        <is>
          <t>No-show</t>
        </is>
      </c>
      <c r="I4" s="21" t="inlineStr">
        <is>
          <t>Remarcadas</t>
        </is>
      </c>
      <c r="J4" s="21" t="inlineStr">
        <is>
          <t>Canceladas</t>
        </is>
      </c>
      <c r="K4" s="21" t="inlineStr">
        <is>
          <t>Ainda vão acontecer</t>
        </is>
      </c>
      <c r="L4" s="21" t="inlineStr">
        <is>
          <t>Não classificadas</t>
        </is>
      </c>
      <c r="M4" s="21" t="inlineStr">
        <is>
          <t>Comparecimento (%)</t>
        </is>
      </c>
      <c r="N4" s="21" t="inlineStr">
        <is>
          <t>Agendamento → realização (%)</t>
        </is>
      </c>
      <c r="O4" s="21" t="inlineStr">
        <is>
          <t>Assertividade - fechamento s/ realizadas (%)</t>
        </is>
      </c>
      <c r="P4" s="21" t="inlineStr">
        <is>
          <t>Win rate - fechados s/ decididas (%)</t>
        </is>
      </c>
      <c r="Q4" s="21" t="inlineStr">
        <is>
          <t>Fechamento s/ agendadas (%)</t>
        </is>
      </c>
      <c r="R4" s="21" t="inlineStr">
        <is>
          <t>Taxa de perda (%)</t>
        </is>
      </c>
      <c r="S4" s="21" t="inlineStr">
        <is>
          <t>Ainda em negociação (%)</t>
        </is>
      </c>
      <c r="T4" s="21" t="inlineStr">
        <is>
          <t>Sem desfecho registrado (%)</t>
        </is>
      </c>
      <c r="U4" s="21" t="inlineStr">
        <is>
          <t>No-show (%)</t>
        </is>
      </c>
    </row>
    <row r="5">
      <c r="A5" s="6" t="inlineStr">
        <is>
          <t>Semana 1</t>
        </is>
      </c>
      <c r="B5" s="27" t="n">
        <v>12</v>
      </c>
      <c r="C5" s="27" t="n">
        <v>11</v>
      </c>
      <c r="D5" s="27" t="n">
        <v>3</v>
      </c>
      <c r="E5" s="27" t="n">
        <v>0</v>
      </c>
      <c r="F5" s="27" t="n">
        <v>8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1</v>
      </c>
      <c r="L5" s="27" t="n">
        <v>0</v>
      </c>
      <c r="M5" s="28">
        <f>IFERROR((C5)/(C5+H5),0)</f>
        <v/>
      </c>
      <c r="N5" s="28">
        <f>IFERROR((C5)/(C5+H5+I5+J5),0)</f>
        <v/>
      </c>
      <c r="O5" s="28">
        <f>IFERROR((D5)/(C5),0)</f>
        <v/>
      </c>
      <c r="P5" s="28">
        <f>IFERROR((D5)/(D5+G5),0)</f>
        <v/>
      </c>
      <c r="Q5" s="28">
        <f>IFERROR((D5)/(B5),0)</f>
        <v/>
      </c>
      <c r="R5" s="28">
        <f>IFERROR((G5)/(C5),0)</f>
        <v/>
      </c>
      <c r="S5" s="28">
        <f>IFERROR((E5)/(C5),0)</f>
        <v/>
      </c>
      <c r="T5" s="28">
        <f>IFERROR((F5)/(C5),0)</f>
        <v/>
      </c>
      <c r="U5" s="28">
        <f>IFERROR((H5)/(B5),0)</f>
        <v/>
      </c>
    </row>
    <row r="6">
      <c r="A6" s="32" t="inlineStr">
        <is>
          <t>Semana 2</t>
        </is>
      </c>
      <c r="B6" s="34" t="n">
        <v>11</v>
      </c>
      <c r="C6" s="34" t="n">
        <v>11</v>
      </c>
      <c r="D6" s="34" t="n">
        <v>3</v>
      </c>
      <c r="E6" s="34" t="n">
        <v>1</v>
      </c>
      <c r="F6" s="34" t="n">
        <v>7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5">
        <f>IFERROR((C6)/(C6+H6),0)</f>
        <v/>
      </c>
      <c r="N6" s="35">
        <f>IFERROR((C6)/(C6+H6+I6+J6),0)</f>
        <v/>
      </c>
      <c r="O6" s="35">
        <f>IFERROR((D6)/(C6),0)</f>
        <v/>
      </c>
      <c r="P6" s="35">
        <f>IFERROR((D6)/(D6+G6),0)</f>
        <v/>
      </c>
      <c r="Q6" s="35">
        <f>IFERROR((D6)/(B6),0)</f>
        <v/>
      </c>
      <c r="R6" s="35">
        <f>IFERROR((G6)/(C6),0)</f>
        <v/>
      </c>
      <c r="S6" s="35">
        <f>IFERROR((E6)/(C6),0)</f>
        <v/>
      </c>
      <c r="T6" s="35">
        <f>IFERROR((F6)/(C6),0)</f>
        <v/>
      </c>
      <c r="U6" s="35">
        <f>IFERROR((H6)/(B6),0)</f>
        <v/>
      </c>
    </row>
    <row r="7">
      <c r="A7" s="6" t="inlineStr">
        <is>
          <t>Semana 3</t>
        </is>
      </c>
      <c r="B7" s="27" t="n">
        <v>12</v>
      </c>
      <c r="C7" s="27" t="n">
        <v>12</v>
      </c>
      <c r="D7" s="27" t="n">
        <v>3</v>
      </c>
      <c r="E7" s="27" t="n">
        <v>3</v>
      </c>
      <c r="F7" s="27" t="n">
        <v>6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0</v>
      </c>
      <c r="L7" s="27" t="n">
        <v>0</v>
      </c>
      <c r="M7" s="28">
        <f>IFERROR((C7)/(C7+H7),0)</f>
        <v/>
      </c>
      <c r="N7" s="28">
        <f>IFERROR((C7)/(C7+H7+I7+J7),0)</f>
        <v/>
      </c>
      <c r="O7" s="28">
        <f>IFERROR((D7)/(C7),0)</f>
        <v/>
      </c>
      <c r="P7" s="28">
        <f>IFERROR((D7)/(D7+G7),0)</f>
        <v/>
      </c>
      <c r="Q7" s="28">
        <f>IFERROR((D7)/(B7),0)</f>
        <v/>
      </c>
      <c r="R7" s="28">
        <f>IFERROR((G7)/(C7),0)</f>
        <v/>
      </c>
      <c r="S7" s="28">
        <f>IFERROR((E7)/(C7),0)</f>
        <v/>
      </c>
      <c r="T7" s="28">
        <f>IFERROR((F7)/(C7),0)</f>
        <v/>
      </c>
      <c r="U7" s="28">
        <f>IFERROR((H7)/(B7),0)</f>
        <v/>
      </c>
    </row>
    <row r="8">
      <c r="A8" s="32" t="inlineStr">
        <is>
          <t>Semana 4</t>
        </is>
      </c>
      <c r="B8" s="34" t="n">
        <v>1</v>
      </c>
      <c r="C8" s="34" t="n">
        <v>1</v>
      </c>
      <c r="D8" s="34" t="n">
        <v>0</v>
      </c>
      <c r="E8" s="34" t="n">
        <v>0</v>
      </c>
      <c r="F8" s="34" t="n">
        <v>1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5">
        <f>IFERROR((C8)/(C8+H8),0)</f>
        <v/>
      </c>
      <c r="N8" s="35">
        <f>IFERROR((C8)/(C8+H8+I8+J8),0)</f>
        <v/>
      </c>
      <c r="O8" s="35">
        <f>IFERROR((D8)/(C8),0)</f>
        <v/>
      </c>
      <c r="P8" s="35">
        <f>IFERROR((D8)/(D8+G8),0)</f>
        <v/>
      </c>
      <c r="Q8" s="35">
        <f>IFERROR((D8)/(B8),0)</f>
        <v/>
      </c>
      <c r="R8" s="35">
        <f>IFERROR((G8)/(C8),0)</f>
        <v/>
      </c>
      <c r="S8" s="35">
        <f>IFERROR((E8)/(C8),0)</f>
        <v/>
      </c>
      <c r="T8" s="35">
        <f>IFERROR((F8)/(C8),0)</f>
        <v/>
      </c>
      <c r="U8" s="35">
        <f>IFERROR((H8)/(B8),0)</f>
        <v/>
      </c>
    </row>
    <row r="9">
      <c r="A9" s="37" t="inlineStr">
        <is>
          <t>TOTAL</t>
        </is>
      </c>
      <c r="B9" s="39">
        <f>SUM(B5:B8)</f>
        <v/>
      </c>
      <c r="C9" s="39">
        <f>SUM(C5:C8)</f>
        <v/>
      </c>
      <c r="D9" s="39">
        <f>SUM(D5:D8)</f>
        <v/>
      </c>
      <c r="E9" s="39">
        <f>SUM(E5:E8)</f>
        <v/>
      </c>
      <c r="F9" s="39">
        <f>SUM(F5:F8)</f>
        <v/>
      </c>
      <c r="G9" s="39">
        <f>SUM(G5:G8)</f>
        <v/>
      </c>
      <c r="H9" s="39">
        <f>SUM(H5:H8)</f>
        <v/>
      </c>
      <c r="I9" s="39">
        <f>SUM(I5:I8)</f>
        <v/>
      </c>
      <c r="J9" s="39">
        <f>SUM(J5:J8)</f>
        <v/>
      </c>
      <c r="K9" s="39">
        <f>SUM(K5:K8)</f>
        <v/>
      </c>
      <c r="L9" s="39">
        <f>SUM(L5:L8)</f>
        <v/>
      </c>
      <c r="M9" s="40">
        <f>IFERROR((C9)/(C9+H9),0)</f>
        <v/>
      </c>
      <c r="N9" s="40">
        <f>IFERROR((C9)/(C9+H9+I9+J9),0)</f>
        <v/>
      </c>
      <c r="O9" s="40">
        <f>IFERROR((D9)/(C9),0)</f>
        <v/>
      </c>
      <c r="P9" s="40">
        <f>IFERROR((D9)/(D9+G9),0)</f>
        <v/>
      </c>
      <c r="Q9" s="40">
        <f>IFERROR((D9)/(B9),0)</f>
        <v/>
      </c>
      <c r="R9" s="40">
        <f>IFERROR((G9)/(C9),0)</f>
        <v/>
      </c>
      <c r="S9" s="40">
        <f>IFERROR((E9)/(C9),0)</f>
        <v/>
      </c>
      <c r="T9" s="40">
        <f>IFERROR((F9)/(C9),0)</f>
        <v/>
      </c>
      <c r="U9" s="40">
        <f>IFERROR((H9)/(B9),0)</f>
        <v/>
      </c>
    </row>
  </sheetData>
  <autoFilter ref="A4:U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9.1" customWidth="1" min="2" max="2"/>
    <col width="20.05" customWidth="1" min="3" max="3"/>
    <col width="10" customWidth="1" min="4" max="4"/>
    <col width="14.35" customWidth="1" min="5" max="5"/>
    <col width="24" customWidth="1" min="6" max="6"/>
    <col width="10" customWidth="1" min="7" max="7"/>
    <col width="10" customWidth="1" min="8" max="8"/>
    <col width="11.5" customWidth="1" min="9" max="9"/>
    <col width="11.5" customWidth="1" min="10" max="10"/>
    <col width="20.05" customWidth="1" min="11" max="11"/>
    <col width="18.15" customWidth="1" min="12" max="12"/>
    <col width="19.1" customWidth="1" min="13" max="13"/>
    <col width="24" customWidth="1" min="14" max="14"/>
    <col width="24" customWidth="1" min="15" max="15"/>
    <col width="24" customWidth="1" min="16" max="16"/>
    <col width="24" customWidth="1" min="17" max="17"/>
    <col width="18.15" customWidth="1" min="18" max="18"/>
    <col width="23.85" customWidth="1" min="19" max="19"/>
    <col width="24" customWidth="1" min="20" max="20"/>
    <col width="12.45" customWidth="1" min="21" max="21"/>
  </cols>
  <sheetData>
    <row r="1">
      <c r="A1" s="1" t="inlineStr">
        <is>
          <t>Assertividade por dia da semana da reunião</t>
        </is>
      </c>
    </row>
    <row r="2">
      <c r="A2" s="2" t="inlineStr">
        <is>
          <t>Período: setembro/2026  •  Gerado em 24/09/2026 15:31</t>
        </is>
      </c>
    </row>
    <row r="3"/>
    <row r="4" ht="32" customHeight="1">
      <c r="A4" s="21" t="inlineStr">
        <is>
          <t>Dia da semana</t>
        </is>
      </c>
      <c r="B4" s="21" t="inlineStr">
        <is>
          <t>Reuniões agendadas</t>
        </is>
      </c>
      <c r="C4" s="21" t="inlineStr">
        <is>
          <t>Reuniões realizadas</t>
        </is>
      </c>
      <c r="D4" s="21" t="inlineStr">
        <is>
          <t>Fechados</t>
        </is>
      </c>
      <c r="E4" s="21" t="inlineStr">
        <is>
          <t>Em negociação</t>
        </is>
      </c>
      <c r="F4" s="21" t="inlineStr">
        <is>
          <t>Reunião feita sem desfecho</t>
        </is>
      </c>
      <c r="G4" s="21" t="inlineStr">
        <is>
          <t>Perdidos</t>
        </is>
      </c>
      <c r="H4" s="21" t="inlineStr">
        <is>
          <t>No-show</t>
        </is>
      </c>
      <c r="I4" s="21" t="inlineStr">
        <is>
          <t>Remarcadas</t>
        </is>
      </c>
      <c r="J4" s="21" t="inlineStr">
        <is>
          <t>Canceladas</t>
        </is>
      </c>
      <c r="K4" s="21" t="inlineStr">
        <is>
          <t>Ainda vão acontecer</t>
        </is>
      </c>
      <c r="L4" s="21" t="inlineStr">
        <is>
          <t>Não classificadas</t>
        </is>
      </c>
      <c r="M4" s="21" t="inlineStr">
        <is>
          <t>Comparecimento (%)</t>
        </is>
      </c>
      <c r="N4" s="21" t="inlineStr">
        <is>
          <t>Agendamento → realização (%)</t>
        </is>
      </c>
      <c r="O4" s="21" t="inlineStr">
        <is>
          <t>Assertividade - fechamento s/ realizadas (%)</t>
        </is>
      </c>
      <c r="P4" s="21" t="inlineStr">
        <is>
          <t>Win rate - fechados s/ decididas (%)</t>
        </is>
      </c>
      <c r="Q4" s="21" t="inlineStr">
        <is>
          <t>Fechamento s/ agendadas (%)</t>
        </is>
      </c>
      <c r="R4" s="21" t="inlineStr">
        <is>
          <t>Taxa de perda (%)</t>
        </is>
      </c>
      <c r="S4" s="21" t="inlineStr">
        <is>
          <t>Ainda em negociação (%)</t>
        </is>
      </c>
      <c r="T4" s="21" t="inlineStr">
        <is>
          <t>Sem desfecho registrado (%)</t>
        </is>
      </c>
      <c r="U4" s="21" t="inlineStr">
        <is>
          <t>No-show (%)</t>
        </is>
      </c>
    </row>
    <row r="5">
      <c r="A5" s="6" t="inlineStr">
        <is>
          <t>1-Segunda</t>
        </is>
      </c>
      <c r="B5" s="27" t="n">
        <v>1</v>
      </c>
      <c r="C5" s="27" t="n">
        <v>1</v>
      </c>
      <c r="D5" s="27" t="n">
        <v>0</v>
      </c>
      <c r="E5" s="27" t="n">
        <v>0</v>
      </c>
      <c r="F5" s="27" t="n">
        <v>1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0</v>
      </c>
      <c r="L5" s="27" t="n">
        <v>0</v>
      </c>
      <c r="M5" s="28">
        <f>IFERROR((C5)/(C5+H5),0)</f>
        <v/>
      </c>
      <c r="N5" s="28">
        <f>IFERROR((C5)/(C5+H5+I5+J5),0)</f>
        <v/>
      </c>
      <c r="O5" s="28">
        <f>IFERROR((D5)/(C5),0)</f>
        <v/>
      </c>
      <c r="P5" s="28">
        <f>IFERROR((D5)/(D5+G5),0)</f>
        <v/>
      </c>
      <c r="Q5" s="28">
        <f>IFERROR((D5)/(B5),0)</f>
        <v/>
      </c>
      <c r="R5" s="28">
        <f>IFERROR((G5)/(C5),0)</f>
        <v/>
      </c>
      <c r="S5" s="28">
        <f>IFERROR((E5)/(C5),0)</f>
        <v/>
      </c>
      <c r="T5" s="28">
        <f>IFERROR((F5)/(C5),0)</f>
        <v/>
      </c>
      <c r="U5" s="28">
        <f>IFERROR((H5)/(B5),0)</f>
        <v/>
      </c>
    </row>
    <row r="6">
      <c r="A6" s="32" t="inlineStr">
        <is>
          <t>2-Terça</t>
        </is>
      </c>
      <c r="B6" s="34" t="n">
        <v>7</v>
      </c>
      <c r="C6" s="34" t="n">
        <v>7</v>
      </c>
      <c r="D6" s="34" t="n">
        <v>2</v>
      </c>
      <c r="E6" s="34" t="n">
        <v>0</v>
      </c>
      <c r="F6" s="34" t="n">
        <v>5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5">
        <f>IFERROR((C6)/(C6+H6),0)</f>
        <v/>
      </c>
      <c r="N6" s="35">
        <f>IFERROR((C6)/(C6+H6+I6+J6),0)</f>
        <v/>
      </c>
      <c r="O6" s="35">
        <f>IFERROR((D6)/(C6),0)</f>
        <v/>
      </c>
      <c r="P6" s="35">
        <f>IFERROR((D6)/(D6+G6),0)</f>
        <v/>
      </c>
      <c r="Q6" s="35">
        <f>IFERROR((D6)/(B6),0)</f>
        <v/>
      </c>
      <c r="R6" s="35">
        <f>IFERROR((G6)/(C6),0)</f>
        <v/>
      </c>
      <c r="S6" s="35">
        <f>IFERROR((E6)/(C6),0)</f>
        <v/>
      </c>
      <c r="T6" s="35">
        <f>IFERROR((F6)/(C6),0)</f>
        <v/>
      </c>
      <c r="U6" s="35">
        <f>IFERROR((H6)/(B6),0)</f>
        <v/>
      </c>
    </row>
    <row r="7">
      <c r="A7" s="6" t="inlineStr">
        <is>
          <t>3-Quarta</t>
        </is>
      </c>
      <c r="B7" s="27" t="n">
        <v>8</v>
      </c>
      <c r="C7" s="27" t="n">
        <v>8</v>
      </c>
      <c r="D7" s="27" t="n">
        <v>0</v>
      </c>
      <c r="E7" s="27" t="n">
        <v>1</v>
      </c>
      <c r="F7" s="27" t="n">
        <v>7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0</v>
      </c>
      <c r="L7" s="27" t="n">
        <v>0</v>
      </c>
      <c r="M7" s="28">
        <f>IFERROR((C7)/(C7+H7),0)</f>
        <v/>
      </c>
      <c r="N7" s="28">
        <f>IFERROR((C7)/(C7+H7+I7+J7),0)</f>
        <v/>
      </c>
      <c r="O7" s="28">
        <f>IFERROR((D7)/(C7),0)</f>
        <v/>
      </c>
      <c r="P7" s="28">
        <f>IFERROR((D7)/(D7+G7),0)</f>
        <v/>
      </c>
      <c r="Q7" s="28">
        <f>IFERROR((D7)/(B7),0)</f>
        <v/>
      </c>
      <c r="R7" s="28">
        <f>IFERROR((G7)/(C7),0)</f>
        <v/>
      </c>
      <c r="S7" s="28">
        <f>IFERROR((E7)/(C7),0)</f>
        <v/>
      </c>
      <c r="T7" s="28">
        <f>IFERROR((F7)/(C7),0)</f>
        <v/>
      </c>
      <c r="U7" s="28">
        <f>IFERROR((H7)/(B7),0)</f>
        <v/>
      </c>
    </row>
    <row r="8">
      <c r="A8" s="32" t="inlineStr">
        <is>
          <t>4-Quinta</t>
        </is>
      </c>
      <c r="B8" s="34" t="n">
        <v>3</v>
      </c>
      <c r="C8" s="34" t="n">
        <v>3</v>
      </c>
      <c r="D8" s="34" t="n">
        <v>0</v>
      </c>
      <c r="E8" s="34" t="n">
        <v>1</v>
      </c>
      <c r="F8" s="34" t="n">
        <v>2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5">
        <f>IFERROR((C8)/(C8+H8),0)</f>
        <v/>
      </c>
      <c r="N8" s="35">
        <f>IFERROR((C8)/(C8+H8+I8+J8),0)</f>
        <v/>
      </c>
      <c r="O8" s="35">
        <f>IFERROR((D8)/(C8),0)</f>
        <v/>
      </c>
      <c r="P8" s="35">
        <f>IFERROR((D8)/(D8+G8),0)</f>
        <v/>
      </c>
      <c r="Q8" s="35">
        <f>IFERROR((D8)/(B8),0)</f>
        <v/>
      </c>
      <c r="R8" s="35">
        <f>IFERROR((G8)/(C8),0)</f>
        <v/>
      </c>
      <c r="S8" s="35">
        <f>IFERROR((E8)/(C8),0)</f>
        <v/>
      </c>
      <c r="T8" s="35">
        <f>IFERROR((F8)/(C8),0)</f>
        <v/>
      </c>
      <c r="U8" s="35">
        <f>IFERROR((H8)/(B8),0)</f>
        <v/>
      </c>
    </row>
    <row r="9">
      <c r="A9" s="6" t="inlineStr">
        <is>
          <t>5-Sexta</t>
        </is>
      </c>
      <c r="B9" s="27" t="n">
        <v>6</v>
      </c>
      <c r="C9" s="27" t="n">
        <v>6</v>
      </c>
      <c r="D9" s="27" t="n">
        <v>3</v>
      </c>
      <c r="E9" s="27" t="n">
        <v>2</v>
      </c>
      <c r="F9" s="27" t="n">
        <v>1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  <c r="L9" s="27" t="n">
        <v>0</v>
      </c>
      <c r="M9" s="28">
        <f>IFERROR((C9)/(C9+H9),0)</f>
        <v/>
      </c>
      <c r="N9" s="28">
        <f>IFERROR((C9)/(C9+H9+I9+J9),0)</f>
        <v/>
      </c>
      <c r="O9" s="28">
        <f>IFERROR((D9)/(C9),0)</f>
        <v/>
      </c>
      <c r="P9" s="28">
        <f>IFERROR((D9)/(D9+G9),0)</f>
        <v/>
      </c>
      <c r="Q9" s="28">
        <f>IFERROR((D9)/(B9),0)</f>
        <v/>
      </c>
      <c r="R9" s="28">
        <f>IFERROR((G9)/(C9),0)</f>
        <v/>
      </c>
      <c r="S9" s="28">
        <f>IFERROR((E9)/(C9),0)</f>
        <v/>
      </c>
      <c r="T9" s="28">
        <f>IFERROR((F9)/(C9),0)</f>
        <v/>
      </c>
      <c r="U9" s="28">
        <f>IFERROR((H9)/(B9),0)</f>
        <v/>
      </c>
    </row>
    <row r="10">
      <c r="A10" s="32" t="inlineStr">
        <is>
          <t>(sem data)</t>
        </is>
      </c>
      <c r="B10" s="34" t="n">
        <v>11</v>
      </c>
      <c r="C10" s="34" t="n">
        <v>10</v>
      </c>
      <c r="D10" s="34" t="n">
        <v>4</v>
      </c>
      <c r="E10" s="34" t="n">
        <v>0</v>
      </c>
      <c r="F10" s="34" t="n">
        <v>6</v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1</v>
      </c>
      <c r="L10" s="34" t="n">
        <v>0</v>
      </c>
      <c r="M10" s="35">
        <f>IFERROR((C10)/(C10+H10),0)</f>
        <v/>
      </c>
      <c r="N10" s="35">
        <f>IFERROR((C10)/(C10+H10+I10+J10),0)</f>
        <v/>
      </c>
      <c r="O10" s="35">
        <f>IFERROR((D10)/(C10),0)</f>
        <v/>
      </c>
      <c r="P10" s="35">
        <f>IFERROR((D10)/(D10+G10),0)</f>
        <v/>
      </c>
      <c r="Q10" s="35">
        <f>IFERROR((D10)/(B10),0)</f>
        <v/>
      </c>
      <c r="R10" s="35">
        <f>IFERROR((G10)/(C10),0)</f>
        <v/>
      </c>
      <c r="S10" s="35">
        <f>IFERROR((E10)/(C10),0)</f>
        <v/>
      </c>
      <c r="T10" s="35">
        <f>IFERROR((F10)/(C10),0)</f>
        <v/>
      </c>
      <c r="U10" s="35">
        <f>IFERROR((H10)/(B10),0)</f>
        <v/>
      </c>
    </row>
    <row r="11">
      <c r="A11" s="37" t="inlineStr">
        <is>
          <t>TOTAL</t>
        </is>
      </c>
      <c r="B11" s="39">
        <f>SUM(B5:B10)</f>
        <v/>
      </c>
      <c r="C11" s="39">
        <f>SUM(C5:C10)</f>
        <v/>
      </c>
      <c r="D11" s="39">
        <f>SUM(D5:D10)</f>
        <v/>
      </c>
      <c r="E11" s="39">
        <f>SUM(E5:E10)</f>
        <v/>
      </c>
      <c r="F11" s="39">
        <f>SUM(F5:F10)</f>
        <v/>
      </c>
      <c r="G11" s="39">
        <f>SUM(G5:G10)</f>
        <v/>
      </c>
      <c r="H11" s="39">
        <f>SUM(H5:H10)</f>
        <v/>
      </c>
      <c r="I11" s="39">
        <f>SUM(I5:I10)</f>
        <v/>
      </c>
      <c r="J11" s="39">
        <f>SUM(J5:J10)</f>
        <v/>
      </c>
      <c r="K11" s="39">
        <f>SUM(K5:K10)</f>
        <v/>
      </c>
      <c r="L11" s="39">
        <f>SUM(L5:L10)</f>
        <v/>
      </c>
      <c r="M11" s="40">
        <f>IFERROR((C11)/(C11+H11),0)</f>
        <v/>
      </c>
      <c r="N11" s="40">
        <f>IFERROR((C11)/(C11+H11+I11+J11),0)</f>
        <v/>
      </c>
      <c r="O11" s="40">
        <f>IFERROR((D11)/(C11),0)</f>
        <v/>
      </c>
      <c r="P11" s="40">
        <f>IFERROR((D11)/(D11+G11),0)</f>
        <v/>
      </c>
      <c r="Q11" s="40">
        <f>IFERROR((D11)/(B11),0)</f>
        <v/>
      </c>
      <c r="R11" s="40">
        <f>IFERROR((G11)/(C11),0)</f>
        <v/>
      </c>
      <c r="S11" s="40">
        <f>IFERROR((E11)/(C11),0)</f>
        <v/>
      </c>
      <c r="T11" s="40">
        <f>IFERROR((F11)/(C11),0)</f>
        <v/>
      </c>
      <c r="U11" s="40">
        <f>IFERROR((H11)/(B11),0)</f>
        <v/>
      </c>
    </row>
  </sheetData>
  <autoFilter ref="A4:U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9.1" customWidth="1" min="2" max="2"/>
  </cols>
  <sheetData>
    <row r="1">
      <c r="A1" s="1" t="inlineStr">
        <is>
          <t>Ciclo de venda — quanto tempo leva para fechar</t>
        </is>
      </c>
    </row>
    <row r="2">
      <c r="A2" s="2" t="inlineStr">
        <is>
          <t>Período: setembro/2026  •  Gerado em 24/09/2026 15:31</t>
        </is>
      </c>
    </row>
    <row r="3"/>
    <row r="4">
      <c r="A4" s="42" t="inlineStr">
        <is>
          <t>Tempo entre o agendamento e a reunião</t>
        </is>
      </c>
    </row>
    <row r="5" ht="32" customHeight="1">
      <c r="A5" s="21" t="inlineStr">
        <is>
          <t>Indicador</t>
        </is>
      </c>
      <c r="B5" s="21" t="inlineStr">
        <is>
          <t>Valor</t>
        </is>
      </c>
    </row>
    <row r="6">
      <c r="A6" s="6" t="inlineStr">
        <is>
          <t>Reuniões com as duas datas</t>
        </is>
      </c>
      <c r="B6" s="43" t="n">
        <v>11</v>
      </c>
    </row>
    <row r="7">
      <c r="A7" s="32" t="inlineStr">
        <is>
          <t>Média (dias)</t>
        </is>
      </c>
      <c r="B7" s="44" t="n">
        <v>0.8181818181818182</v>
      </c>
    </row>
    <row r="8">
      <c r="A8" s="6" t="inlineStr">
        <is>
          <t>Mediana (dias)</t>
        </is>
      </c>
      <c r="B8" s="43" t="n">
        <v>1</v>
      </c>
    </row>
    <row r="9">
      <c r="A9" s="32" t="inlineStr">
        <is>
          <t>Reunião no mesmo dia do agendamento</t>
        </is>
      </c>
      <c r="B9" s="44" t="n">
        <v>4</v>
      </c>
    </row>
    <row r="10">
      <c r="A10" s="6" t="inlineStr">
        <is>
          <t>1 a 2 dias depois</t>
        </is>
      </c>
      <c r="B10" s="43" t="n">
        <v>6</v>
      </c>
    </row>
    <row r="11">
      <c r="A11" s="32" t="inlineStr">
        <is>
          <t>3 dias ou mais</t>
        </is>
      </c>
      <c r="B11" s="44" t="n">
        <v>1</v>
      </c>
    </row>
    <row r="12"/>
    <row r="13">
      <c r="A13" s="42" t="inlineStr">
        <is>
          <t>Reunião → fechamento (precisa da coluna 'Data de fechamento')</t>
        </is>
      </c>
    </row>
    <row r="14">
      <c r="A14" s="2" t="inlineStr">
        <is>
          <t>Sem dados para este bloco.</t>
        </is>
      </c>
    </row>
    <row r="15"/>
    <row r="16">
      <c r="A16" s="42" t="inlineStr">
        <is>
          <t>Reunião → fechamento por responsável</t>
        </is>
      </c>
    </row>
    <row r="17">
      <c r="A17" s="2" t="inlineStr">
        <is>
          <t>Sem dados para este bloco.</t>
        </is>
      </c>
    </row>
  </sheetData>
  <autoFilter ref="A5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26.7" customWidth="1" min="1" max="1"/>
  </cols>
  <sheetData>
    <row r="1">
      <c r="A1" s="1" t="inlineStr">
        <is>
          <t>Por que os clientes não fecharam</t>
        </is>
      </c>
    </row>
    <row r="2">
      <c r="A2" s="2" t="inlineStr">
        <is>
          <t>Período: setembro/2026  •  Gerado em 24/09/2026 15:31</t>
        </is>
      </c>
    </row>
    <row r="3"/>
    <row r="4">
      <c r="A4" s="2" t="inlineStr">
        <is>
          <t>Sem dados para este bloco.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5.3" customWidth="1" min="2" max="2"/>
    <col width="18.15" customWidth="1" min="3" max="3"/>
    <col width="10" customWidth="1" min="4" max="4"/>
    <col width="20.05" customWidth="1" min="5" max="5"/>
    <col width="18.15" customWidth="1" min="6" max="6"/>
    <col width="24.8" customWidth="1" min="7" max="7"/>
    <col width="70" customWidth="1" min="8" max="8"/>
    <col width="68.5" customWidth="1" min="9" max="9"/>
    <col width="15.3" customWidth="1" min="10" max="10"/>
    <col width="30.5" customWidth="1" min="11" max="11"/>
  </cols>
  <sheetData>
    <row r="1">
      <c r="A1" s="1" t="inlineStr">
        <is>
          <t>Oportunidades em aberto (Follow-up + Reunião feita) — ordenadas por temperatura</t>
        </is>
      </c>
    </row>
    <row r="2">
      <c r="A2" s="2" t="inlineStr">
        <is>
          <t>Período: setembro/2026  •  Gerado em 24/09/2026 15:31</t>
        </is>
      </c>
    </row>
    <row r="3"/>
    <row r="4" ht="32" customHeight="1">
      <c r="A4" s="21" t="inlineStr">
        <is>
          <t>Cliente</t>
        </is>
      </c>
      <c r="B4" s="21" t="inlineStr">
        <is>
          <t>Marcação</t>
        </is>
      </c>
      <c r="C4" s="21" t="inlineStr">
        <is>
          <t>Responsável</t>
        </is>
      </c>
      <c r="D4" s="21" t="inlineStr">
        <is>
          <t>Semana</t>
        </is>
      </c>
      <c r="E4" s="21" t="inlineStr">
        <is>
          <t>Data</t>
        </is>
      </c>
      <c r="F4" s="21" t="inlineStr">
        <is>
          <t>Etapa na planilha</t>
        </is>
      </c>
      <c r="G4" s="21" t="inlineStr">
        <is>
          <t>Temperatura</t>
        </is>
      </c>
      <c r="H4" s="21" t="inlineStr">
        <is>
          <t>Sinais na observação</t>
        </is>
      </c>
      <c r="I4" s="21" t="inlineStr">
        <is>
          <t>Observação</t>
        </is>
      </c>
      <c r="J4" s="21" t="inlineStr">
        <is>
          <t>Dias em aberto</t>
        </is>
      </c>
      <c r="K4" s="21" t="inlineStr">
        <is>
          <t>Alerta</t>
        </is>
      </c>
    </row>
    <row r="5">
      <c r="A5" s="22" t="inlineStr">
        <is>
          <t>Edgar</t>
        </is>
      </c>
      <c r="B5" s="22" t="inlineStr">
        <is>
          <t>(sem marcação)</t>
        </is>
      </c>
      <c r="C5" s="22" t="inlineStr">
        <is>
          <t>Cláudio</t>
        </is>
      </c>
      <c r="D5" s="22" t="inlineStr">
        <is>
          <t>Semana 1</t>
        </is>
      </c>
      <c r="E5" s="45" t="n">
        <v>46267</v>
      </c>
      <c r="F5" s="22" t="inlineStr">
        <is>
          <t>Reunião Feita</t>
        </is>
      </c>
      <c r="G5" s="22" t="inlineStr">
        <is>
          <t>🔥 Quente</t>
        </is>
      </c>
      <c r="H5" s="22" t="inlineStr">
        <is>
          <t>Promessa de fechamento</t>
        </is>
      </c>
      <c r="I5" s="22" t="inlineStr">
        <is>
          <t>Quer fechar como MEI e se planejar para migrar</t>
        </is>
      </c>
      <c r="J5" s="46" t="n">
        <v>22</v>
      </c>
      <c r="K5" s="22" t="inlineStr">
        <is>
          <t>⚠️ sem atualização há +15 dias</t>
        </is>
      </c>
    </row>
    <row r="6">
      <c r="A6" s="23" t="inlineStr">
        <is>
          <t>Levi</t>
        </is>
      </c>
      <c r="B6" s="23" t="inlineStr">
        <is>
          <t>(sem marcação)</t>
        </is>
      </c>
      <c r="C6" s="23" t="inlineStr">
        <is>
          <t>(sem responsável)</t>
        </is>
      </c>
      <c r="D6" s="23" t="inlineStr">
        <is>
          <t>Semana 2</t>
        </is>
      </c>
      <c r="E6" s="47" t="n">
        <v>46274</v>
      </c>
      <c r="F6" s="23" t="inlineStr">
        <is>
          <t>Follow Up</t>
        </is>
      </c>
      <c r="G6" s="23" t="inlineStr">
        <is>
          <t>🔥 Quente</t>
        </is>
      </c>
      <c r="H6" s="23" t="inlineStr">
        <is>
          <t>Promessa de fechamento, Pediu retorno / follow-up</t>
        </is>
      </c>
      <c r="I6" s="23" t="inlineStr">
        <is>
          <t>Fecha em Outubro</t>
        </is>
      </c>
      <c r="J6" s="48" t="n">
        <v>15</v>
      </c>
      <c r="K6" s="23" t="inlineStr">
        <is>
          <t>ok</t>
        </is>
      </c>
    </row>
    <row r="7">
      <c r="A7" s="22" t="inlineStr">
        <is>
          <t>Naiany</t>
        </is>
      </c>
      <c r="B7" s="22" t="inlineStr">
        <is>
          <t>(sem marcação)</t>
        </is>
      </c>
      <c r="C7" s="22" t="inlineStr">
        <is>
          <t>(sem responsável)</t>
        </is>
      </c>
      <c r="D7" s="22" t="inlineStr">
        <is>
          <t>Semana 2</t>
        </is>
      </c>
      <c r="E7" s="45" t="n">
        <v>46275</v>
      </c>
      <c r="F7" s="22" t="inlineStr">
        <is>
          <t>Reunião Feita</t>
        </is>
      </c>
      <c r="G7" s="22" t="inlineStr">
        <is>
          <t>🔥 Quente</t>
        </is>
      </c>
      <c r="H7" s="22" t="inlineStr">
        <is>
          <t>Objeção: preço/orçamento, Promessa de fechamento</t>
        </is>
      </c>
      <c r="I7" s="22" t="inlineStr">
        <is>
          <t>Vai fechar dia 15 quando termina o fluxo de pagamento dos clientes</t>
        </is>
      </c>
      <c r="J7" s="46" t="n">
        <v>14</v>
      </c>
      <c r="K7" s="22" t="inlineStr">
        <is>
          <t>ok</t>
        </is>
      </c>
    </row>
    <row r="8">
      <c r="A8" s="23" t="inlineStr">
        <is>
          <t>Caíke</t>
        </is>
      </c>
      <c r="B8" s="23" t="inlineStr">
        <is>
          <t>(sem marcação)</t>
        </is>
      </c>
      <c r="C8" s="23" t="inlineStr">
        <is>
          <t>(sem responsável)</t>
        </is>
      </c>
      <c r="D8" s="23" t="inlineStr">
        <is>
          <t>Semana 3</t>
        </is>
      </c>
      <c r="E8" s="47" t="n">
        <v>46282</v>
      </c>
      <c r="F8" s="23" t="inlineStr">
        <is>
          <t>Follow Up</t>
        </is>
      </c>
      <c r="G8" s="23" t="inlineStr">
        <is>
          <t>🔥 Quente</t>
        </is>
      </c>
      <c r="H8" s="23" t="inlineStr">
        <is>
          <t>Objeção: preço/orçamento, Promessa de fechamento</t>
        </is>
      </c>
      <c r="I8" s="23" t="inlineStr">
        <is>
          <t>Disse que fecharia amanhã quando recebesse um dinheiro</t>
        </is>
      </c>
      <c r="J8" s="48" t="n">
        <v>7</v>
      </c>
      <c r="K8" s="23" t="inlineStr">
        <is>
          <t>ok</t>
        </is>
      </c>
    </row>
    <row r="9">
      <c r="A9" s="22" t="inlineStr">
        <is>
          <t>Erick</t>
        </is>
      </c>
      <c r="B9" s="22" t="inlineStr">
        <is>
          <t>(sem marcação)</t>
        </is>
      </c>
      <c r="C9" s="22" t="inlineStr">
        <is>
          <t>(sem responsável)</t>
        </is>
      </c>
      <c r="D9" s="22" t="inlineStr">
        <is>
          <t>Semana 3</t>
        </is>
      </c>
      <c r="E9" s="45" t="n">
        <v>46283</v>
      </c>
      <c r="F9" s="22" t="inlineStr">
        <is>
          <t>Follow Up</t>
        </is>
      </c>
      <c r="G9" s="22" t="inlineStr">
        <is>
          <t>🔥 Quente</t>
        </is>
      </c>
      <c r="H9" s="22" t="inlineStr">
        <is>
          <t>Pediu contrato/proposta</t>
        </is>
      </c>
      <c r="I9" s="22" t="inlineStr">
        <is>
          <t>Gostou muito pediu o contrato para analisar</t>
        </is>
      </c>
      <c r="J9" s="46" t="n">
        <v>6</v>
      </c>
      <c r="K9" s="22" t="inlineStr">
        <is>
          <t>ok</t>
        </is>
      </c>
    </row>
    <row r="10">
      <c r="A10" s="23" t="inlineStr">
        <is>
          <t>Guilherme</t>
        </is>
      </c>
      <c r="B10" s="23" t="inlineStr">
        <is>
          <t>(sem marcação)</t>
        </is>
      </c>
      <c r="C10" s="23" t="inlineStr">
        <is>
          <t>(sem responsável)</t>
        </is>
      </c>
      <c r="D10" s="23" t="inlineStr">
        <is>
          <t>Semana 3</t>
        </is>
      </c>
      <c r="E10" s="47" t="n">
        <v>46283</v>
      </c>
      <c r="F10" s="23" t="inlineStr">
        <is>
          <t>Follow Up</t>
        </is>
      </c>
      <c r="G10" s="23" t="inlineStr">
        <is>
          <t>🔥 Quente</t>
        </is>
      </c>
      <c r="H10" s="23" t="inlineStr">
        <is>
          <t>Promessa de fechamento, Pediu retorno / follow-up</t>
        </is>
      </c>
      <c r="I10" s="23" t="inlineStr">
        <is>
          <t>Follow up outubro - disse que fechava</t>
        </is>
      </c>
      <c r="J10" s="48" t="n">
        <v>6</v>
      </c>
      <c r="K10" s="23" t="inlineStr">
        <is>
          <t>ok</t>
        </is>
      </c>
    </row>
    <row r="11">
      <c r="A11" s="22" t="inlineStr">
        <is>
          <t>Vitor</t>
        </is>
      </c>
      <c r="B11" s="22" t="inlineStr">
        <is>
          <t>(sem marcação)</t>
        </is>
      </c>
      <c r="C11" s="22" t="inlineStr">
        <is>
          <t>(sem responsável)</t>
        </is>
      </c>
      <c r="D11" s="22" t="inlineStr">
        <is>
          <t>Semana 4</t>
        </is>
      </c>
      <c r="E11" s="45" t="n">
        <v>46286</v>
      </c>
      <c r="F11" s="22" t="inlineStr">
        <is>
          <t>Reunião Feita</t>
        </is>
      </c>
      <c r="G11" s="22" t="inlineStr">
        <is>
          <t>🔥 Quente</t>
        </is>
      </c>
      <c r="H11" s="22" t="inlineStr">
        <is>
          <t>Objeção: preço/orçamento, Promessa de fechamento, Pediu retorno / follow-up</t>
        </is>
      </c>
      <c r="I11" s="22" t="inlineStr">
        <is>
          <t>Irá fechar quando receber, falar toda semana</t>
        </is>
      </c>
      <c r="J11" s="46" t="n">
        <v>3</v>
      </c>
      <c r="K11" s="22" t="inlineStr">
        <is>
          <t>ok</t>
        </is>
      </c>
    </row>
    <row r="12">
      <c r="A12" s="23" t="inlineStr">
        <is>
          <t>Telma</t>
        </is>
      </c>
      <c r="B12" s="23" t="inlineStr">
        <is>
          <t>(sem marcação)</t>
        </is>
      </c>
      <c r="C12" s="23" t="inlineStr">
        <is>
          <t>(sem responsável)</t>
        </is>
      </c>
      <c r="D12" s="23" t="inlineStr">
        <is>
          <t>Semana 2</t>
        </is>
      </c>
      <c r="E12" s="47" t="n">
        <v>46210</v>
      </c>
      <c r="F12" s="23" t="inlineStr">
        <is>
          <t>Reunião Feita</t>
        </is>
      </c>
      <c r="G12" s="23" t="inlineStr">
        <is>
          <t>🌤️ Morna</t>
        </is>
      </c>
      <c r="H12" s="23" t="inlineStr">
        <is>
          <t>Pediu retorno / follow-up</t>
        </is>
      </c>
      <c r="I12" s="23" t="inlineStr">
        <is>
          <t>Falar em uma semana pros dois apps</t>
        </is>
      </c>
      <c r="J12" s="48" t="n">
        <v>79</v>
      </c>
      <c r="K12" s="23" t="inlineStr">
        <is>
          <t>⚠️ sem atualização há +15 dias</t>
        </is>
      </c>
    </row>
    <row r="13">
      <c r="A13" s="22" t="inlineStr">
        <is>
          <t>Tarini</t>
        </is>
      </c>
      <c r="B13" s="22" t="inlineStr">
        <is>
          <t>(sem marcação)</t>
        </is>
      </c>
      <c r="C13" s="22" t="inlineStr">
        <is>
          <t>Cláudio</t>
        </is>
      </c>
      <c r="D13" s="22" t="inlineStr">
        <is>
          <t>Semana 1</t>
        </is>
      </c>
      <c r="E13" s="45" t="n">
        <v>46266</v>
      </c>
      <c r="F13" s="22" t="inlineStr">
        <is>
          <t>Reunião Feita</t>
        </is>
      </c>
      <c r="G13" s="22" t="inlineStr">
        <is>
          <t>🌤️ Morna</t>
        </is>
      </c>
      <c r="H13" s="22" t="inlineStr">
        <is>
          <t>Só tirou dúvidas</t>
        </is>
      </c>
      <c r="I13" s="22" t="inlineStr">
        <is>
          <t>Apenas tirar dúvidas</t>
        </is>
      </c>
      <c r="J13" s="46" t="n">
        <v>23</v>
      </c>
      <c r="K13" s="22" t="inlineStr">
        <is>
          <t>⚠️ sem atualização há +15 dias</t>
        </is>
      </c>
    </row>
    <row r="14">
      <c r="A14" s="23" t="inlineStr">
        <is>
          <t>Mariana</t>
        </is>
      </c>
      <c r="B14" s="23" t="inlineStr">
        <is>
          <t>(sem marcação)</t>
        </is>
      </c>
      <c r="C14" s="23" t="inlineStr">
        <is>
          <t>Cláudio</t>
        </is>
      </c>
      <c r="D14" s="23" t="inlineStr">
        <is>
          <t>Semana 1</t>
        </is>
      </c>
      <c r="E14" s="47" t="n">
        <v>46266</v>
      </c>
      <c r="F14" s="23" t="inlineStr">
        <is>
          <t>Reunião Feita</t>
        </is>
      </c>
      <c r="G14" s="23" t="inlineStr">
        <is>
          <t>🌤️ Morna</t>
        </is>
      </c>
      <c r="H14" s="23" t="inlineStr">
        <is>
          <t>Decide com cônjuge/sócio</t>
        </is>
      </c>
      <c r="I14" s="23" t="inlineStr">
        <is>
          <t>Analisando com o Marido</t>
        </is>
      </c>
      <c r="J14" s="48" t="n">
        <v>23</v>
      </c>
      <c r="K14" s="23" t="inlineStr">
        <is>
          <t>⚠️ sem atualização há +15 dias</t>
        </is>
      </c>
    </row>
    <row r="15">
      <c r="A15" s="22" t="inlineStr">
        <is>
          <t>Gabryel</t>
        </is>
      </c>
      <c r="B15" s="22" t="inlineStr">
        <is>
          <t>(sem marcação)</t>
        </is>
      </c>
      <c r="C15" s="22" t="inlineStr">
        <is>
          <t>(sem responsável)</t>
        </is>
      </c>
      <c r="D15" s="22" t="inlineStr">
        <is>
          <t>Semana 1</t>
        </is>
      </c>
      <c r="E15" s="45" t="n">
        <v>46269</v>
      </c>
      <c r="F15" s="22" t="inlineStr">
        <is>
          <t>Reunião Feita</t>
        </is>
      </c>
      <c r="G15" s="22" t="inlineStr">
        <is>
          <t>🌤️ Morna</t>
        </is>
      </c>
      <c r="H15" s="22" t="n"/>
      <c r="I15" s="22" t="n"/>
      <c r="J15" s="46" t="n">
        <v>20</v>
      </c>
      <c r="K15" s="22" t="inlineStr">
        <is>
          <t>⚠️ sem atualização há +15 dias</t>
        </is>
      </c>
    </row>
    <row r="16">
      <c r="A16" s="23" t="inlineStr">
        <is>
          <t>Débora</t>
        </is>
      </c>
      <c r="B16" s="23" t="inlineStr">
        <is>
          <t>(sem marcação)</t>
        </is>
      </c>
      <c r="C16" s="23" t="inlineStr">
        <is>
          <t>(sem responsável)</t>
        </is>
      </c>
      <c r="D16" s="23" t="inlineStr">
        <is>
          <t>Semana 2</t>
        </is>
      </c>
      <c r="E16" s="47" t="n">
        <v>46273</v>
      </c>
      <c r="F16" s="23" t="inlineStr">
        <is>
          <t>Reunião Feita</t>
        </is>
      </c>
      <c r="G16" s="23" t="inlineStr">
        <is>
          <t>🌤️ Morna</t>
        </is>
      </c>
      <c r="H16" s="23" t="inlineStr">
        <is>
          <t>Objeção: preço/orçamento, Só tirou dúvidas</t>
        </is>
      </c>
      <c r="I16" s="23" t="inlineStr">
        <is>
          <t>Não tinha orçamento e tirou dúvidas, quando o negócio alavancar, volta</t>
        </is>
      </c>
      <c r="J16" s="48" t="n">
        <v>16</v>
      </c>
      <c r="K16" s="23" t="inlineStr">
        <is>
          <t>⚠️ sem atualização há +15 dias</t>
        </is>
      </c>
    </row>
    <row r="17">
      <c r="A17" s="22" t="inlineStr">
        <is>
          <t>Carol</t>
        </is>
      </c>
      <c r="B17" s="22" t="inlineStr">
        <is>
          <t>(sem marcação)</t>
        </is>
      </c>
      <c r="C17" s="22" t="inlineStr">
        <is>
          <t>(sem responsável)</t>
        </is>
      </c>
      <c r="D17" s="22" t="inlineStr">
        <is>
          <t>Semana 2</t>
        </is>
      </c>
      <c r="E17" s="45" t="n">
        <v>46274</v>
      </c>
      <c r="F17" s="22" t="inlineStr">
        <is>
          <t>Reunião Feita</t>
        </is>
      </c>
      <c r="G17" s="22" t="inlineStr">
        <is>
          <t>🌤️ Morna</t>
        </is>
      </c>
      <c r="H17" s="22" t="inlineStr">
        <is>
          <t>Decide com cônjuge/sócio, Pediu retorno / follow-up</t>
        </is>
      </c>
      <c r="I17" s="22" t="inlineStr">
        <is>
          <t>Vai ver com o Marido e retorna</t>
        </is>
      </c>
      <c r="J17" s="46" t="n">
        <v>15</v>
      </c>
      <c r="K17" s="22" t="inlineStr">
        <is>
          <t>ok</t>
        </is>
      </c>
    </row>
    <row r="18">
      <c r="A18" s="23" t="inlineStr">
        <is>
          <t>Genilson</t>
        </is>
      </c>
      <c r="B18" s="23" t="inlineStr">
        <is>
          <t>(sem marcação)</t>
        </is>
      </c>
      <c r="C18" s="23" t="inlineStr">
        <is>
          <t>(sem responsável)</t>
        </is>
      </c>
      <c r="D18" s="23" t="inlineStr">
        <is>
          <t>Semana 2</t>
        </is>
      </c>
      <c r="E18" s="47" t="n">
        <v>46274</v>
      </c>
      <c r="F18" s="23" t="inlineStr">
        <is>
          <t>Reunião Feita</t>
        </is>
      </c>
      <c r="G18" s="23" t="inlineStr">
        <is>
          <t>🌤️ Morna</t>
        </is>
      </c>
      <c r="H18" s="23" t="inlineStr">
        <is>
          <t>Objeção: preço/orçamento, Só tirou dúvidas</t>
        </is>
      </c>
      <c r="I18" s="23" t="inlineStr">
        <is>
          <t>Não tinha orçamento e tirou dúvidas, quando o negócio alavancar, volta</t>
        </is>
      </c>
      <c r="J18" s="48" t="n">
        <v>15</v>
      </c>
      <c r="K18" s="23" t="inlineStr">
        <is>
          <t>ok</t>
        </is>
      </c>
    </row>
    <row r="19">
      <c r="A19" s="22" t="inlineStr">
        <is>
          <t>Lorena</t>
        </is>
      </c>
      <c r="B19" s="22" t="inlineStr">
        <is>
          <t>(sem marcação)</t>
        </is>
      </c>
      <c r="C19" s="22" t="inlineStr">
        <is>
          <t>(sem responsável)</t>
        </is>
      </c>
      <c r="D19" s="22" t="inlineStr">
        <is>
          <t>Semana 2</t>
        </is>
      </c>
      <c r="E19" s="45" t="n">
        <v>46274</v>
      </c>
      <c r="F19" s="22" t="inlineStr">
        <is>
          <t>Reunião Feita</t>
        </is>
      </c>
      <c r="G19" s="22" t="inlineStr">
        <is>
          <t>🌤️ Morna</t>
        </is>
      </c>
      <c r="H19" s="22" t="inlineStr">
        <is>
          <t>Objeção: preço/orçamento, Só tirou dúvidas</t>
        </is>
      </c>
      <c r="I19" s="22" t="inlineStr">
        <is>
          <t>Não tinha orçamento e tirou dúvidas, quando o negócio alavancar, volta</t>
        </is>
      </c>
      <c r="J19" s="46" t="n">
        <v>15</v>
      </c>
      <c r="K19" s="22" t="inlineStr">
        <is>
          <t>ok</t>
        </is>
      </c>
    </row>
    <row r="20">
      <c r="A20" s="23" t="inlineStr">
        <is>
          <t>André</t>
        </is>
      </c>
      <c r="B20" s="23" t="inlineStr">
        <is>
          <t>(sem marcação)</t>
        </is>
      </c>
      <c r="C20" s="23" t="inlineStr">
        <is>
          <t>(sem responsável)</t>
        </is>
      </c>
      <c r="D20" s="23" t="inlineStr">
        <is>
          <t>Semana 3</t>
        </is>
      </c>
      <c r="E20" s="47" t="n">
        <v>46280</v>
      </c>
      <c r="F20" s="23" t="inlineStr">
        <is>
          <t>Reunião Feita</t>
        </is>
      </c>
      <c r="G20" s="23" t="inlineStr">
        <is>
          <t>🌤️ Morna</t>
        </is>
      </c>
      <c r="H20" s="23" t="n"/>
      <c r="I20" s="23" t="n"/>
      <c r="J20" s="48" t="n">
        <v>9</v>
      </c>
      <c r="K20" s="23" t="inlineStr">
        <is>
          <t>ok</t>
        </is>
      </c>
    </row>
    <row r="21">
      <c r="A21" s="22" t="inlineStr">
        <is>
          <t>Guga</t>
        </is>
      </c>
      <c r="B21" s="22" t="inlineStr">
        <is>
          <t>(sem marcação)</t>
        </is>
      </c>
      <c r="C21" s="22" t="inlineStr">
        <is>
          <t>(sem responsável)</t>
        </is>
      </c>
      <c r="D21" s="22" t="inlineStr">
        <is>
          <t>Semana 3</t>
        </is>
      </c>
      <c r="E21" s="45" t="n">
        <v>46281</v>
      </c>
      <c r="F21" s="22" t="inlineStr">
        <is>
          <t>Reunião Feita</t>
        </is>
      </c>
      <c r="G21" s="22" t="inlineStr">
        <is>
          <t>🌤️ Morna</t>
        </is>
      </c>
      <c r="H21" s="22" t="inlineStr">
        <is>
          <t>Objeção: preço/orçamento</t>
        </is>
      </c>
      <c r="I21" s="22" t="inlineStr">
        <is>
          <t>Achou caro</t>
        </is>
      </c>
      <c r="J21" s="46" t="n">
        <v>8</v>
      </c>
      <c r="K21" s="22" t="inlineStr">
        <is>
          <t>ok</t>
        </is>
      </c>
    </row>
    <row r="22">
      <c r="A22" s="23" t="inlineStr">
        <is>
          <t>Márcia</t>
        </is>
      </c>
      <c r="B22" s="23" t="inlineStr">
        <is>
          <t>(sem marcação)</t>
        </is>
      </c>
      <c r="C22" s="23" t="inlineStr">
        <is>
          <t>(sem responsável)</t>
        </is>
      </c>
      <c r="D22" s="23" t="inlineStr">
        <is>
          <t>Semana 3</t>
        </is>
      </c>
      <c r="E22" s="47" t="n">
        <v>46281</v>
      </c>
      <c r="F22" s="23" t="inlineStr">
        <is>
          <t>Reunião Feita</t>
        </is>
      </c>
      <c r="G22" s="23" t="inlineStr">
        <is>
          <t>🌤️ Morna</t>
        </is>
      </c>
      <c r="H22" s="23" t="inlineStr">
        <is>
          <t>Comparando concorrentes</t>
        </is>
      </c>
      <c r="I22" s="23" t="inlineStr">
        <is>
          <t>Desenquadrada na sua agência e analisa a contratação</t>
        </is>
      </c>
      <c r="J22" s="48" t="n">
        <v>8</v>
      </c>
      <c r="K22" s="23" t="inlineStr">
        <is>
          <t>ok</t>
        </is>
      </c>
    </row>
    <row r="23">
      <c r="A23" s="22" t="inlineStr">
        <is>
          <t>Carlos</t>
        </is>
      </c>
      <c r="B23" s="22" t="inlineStr">
        <is>
          <t>(sem marcação)</t>
        </is>
      </c>
      <c r="C23" s="22" t="inlineStr">
        <is>
          <t>(sem responsável)</t>
        </is>
      </c>
      <c r="D23" s="22" t="inlineStr">
        <is>
          <t>Semana 3</t>
        </is>
      </c>
      <c r="E23" s="45" t="n">
        <v>46281</v>
      </c>
      <c r="F23" s="22" t="inlineStr">
        <is>
          <t>Reunião Feita</t>
        </is>
      </c>
      <c r="G23" s="22" t="inlineStr">
        <is>
          <t>🌤️ Morna</t>
        </is>
      </c>
      <c r="H23" s="22" t="n"/>
      <c r="I23" s="22" t="inlineStr">
        <is>
          <t>Calado a call inteira quase e agora está analisando</t>
        </is>
      </c>
      <c r="J23" s="46" t="n">
        <v>8</v>
      </c>
      <c r="K23" s="22" t="inlineStr">
        <is>
          <t>ok</t>
        </is>
      </c>
    </row>
    <row r="24">
      <c r="A24" s="23" t="inlineStr">
        <is>
          <t>Miguel</t>
        </is>
      </c>
      <c r="B24" s="23" t="inlineStr">
        <is>
          <t>(sem marcação)</t>
        </is>
      </c>
      <c r="C24" s="23" t="inlineStr">
        <is>
          <t>(sem responsável)</t>
        </is>
      </c>
      <c r="D24" s="23" t="inlineStr">
        <is>
          <t>Semana 3</t>
        </is>
      </c>
      <c r="E24" s="47" t="n">
        <v>46282</v>
      </c>
      <c r="F24" s="23" t="inlineStr">
        <is>
          <t>Reunião Feita</t>
        </is>
      </c>
      <c r="G24" s="23" t="inlineStr">
        <is>
          <t>🌤️ Morna</t>
        </is>
      </c>
      <c r="H24" s="23" t="inlineStr">
        <is>
          <t>Objeção: preço/orçamento</t>
        </is>
      </c>
      <c r="I24" s="23" t="inlineStr">
        <is>
          <t>Gostou muito da Conforme mas pechinchou muito</t>
        </is>
      </c>
      <c r="J24" s="48" t="n">
        <v>7</v>
      </c>
      <c r="K24" s="23" t="inlineStr">
        <is>
          <t>ok</t>
        </is>
      </c>
    </row>
    <row r="25">
      <c r="A25" s="22" t="inlineStr">
        <is>
          <t>Alexandre</t>
        </is>
      </c>
      <c r="B25" s="22" t="inlineStr">
        <is>
          <t>(sem marcação)</t>
        </is>
      </c>
      <c r="C25" s="22" t="inlineStr">
        <is>
          <t>(sem responsável)</t>
        </is>
      </c>
      <c r="D25" s="22" t="inlineStr">
        <is>
          <t>Semana 1</t>
        </is>
      </c>
      <c r="E25" s="45" t="n"/>
      <c r="F25" s="22" t="inlineStr">
        <is>
          <t>Reunião Feita</t>
        </is>
      </c>
      <c r="G25" s="22" t="inlineStr">
        <is>
          <t>🌤️ Morna</t>
        </is>
      </c>
      <c r="H25" s="22" t="inlineStr">
        <is>
          <t>Comparando concorrentes, Pediu retorno / follow-up</t>
        </is>
      </c>
      <c r="I25" s="22" t="inlineStr">
        <is>
          <t>Pediu para retornar em 2 semanas que está analisando outras opções</t>
        </is>
      </c>
      <c r="J25" s="46" t="n"/>
      <c r="K25" s="22" t="inlineStr">
        <is>
          <t>sem data</t>
        </is>
      </c>
    </row>
    <row r="26">
      <c r="A26" s="23" t="inlineStr">
        <is>
          <t>Fernando e Lucas</t>
        </is>
      </c>
      <c r="B26" s="23" t="inlineStr">
        <is>
          <t>(sem marcação)</t>
        </is>
      </c>
      <c r="C26" s="23" t="inlineStr">
        <is>
          <t>(sem responsável)</t>
        </is>
      </c>
      <c r="D26" s="23" t="inlineStr">
        <is>
          <t>Semana 1</t>
        </is>
      </c>
      <c r="E26" s="47" t="n"/>
      <c r="F26" s="23" t="inlineStr">
        <is>
          <t>Reunião Feita</t>
        </is>
      </c>
      <c r="G26" s="23" t="inlineStr">
        <is>
          <t>🌤️ Morna</t>
        </is>
      </c>
      <c r="H26" s="23" t="inlineStr">
        <is>
          <t>Pediu retorno / follow-up</t>
        </is>
      </c>
      <c r="I26" s="23" t="inlineStr">
        <is>
          <t>Retornar em 2 semanas que são 3 ME´s</t>
        </is>
      </c>
      <c r="J26" s="48" t="n"/>
      <c r="K26" s="23" t="inlineStr">
        <is>
          <t>sem data</t>
        </is>
      </c>
    </row>
    <row r="27">
      <c r="A27" s="22" t="inlineStr">
        <is>
          <t>Victor Alves</t>
        </is>
      </c>
      <c r="B27" s="22" t="inlineStr">
        <is>
          <t>(sem marcação)</t>
        </is>
      </c>
      <c r="C27" s="22" t="inlineStr">
        <is>
          <t>(sem responsável)</t>
        </is>
      </c>
      <c r="D27" s="22" t="inlineStr">
        <is>
          <t>Semana 1</t>
        </is>
      </c>
      <c r="E27" s="45" t="n"/>
      <c r="F27" s="22" t="inlineStr">
        <is>
          <t>Reunião Feita</t>
        </is>
      </c>
      <c r="G27" s="22" t="inlineStr">
        <is>
          <t>🌤️ Morna</t>
        </is>
      </c>
      <c r="H27" s="22" t="inlineStr">
        <is>
          <t>Decide com cônjuge/sócio, Pediu retorno / follow-up</t>
        </is>
      </c>
      <c r="I27" s="22" t="inlineStr">
        <is>
          <t>Retornar em 1 semana que verá com a Esposa</t>
        </is>
      </c>
      <c r="J27" s="46" t="n"/>
      <c r="K27" s="22" t="inlineStr">
        <is>
          <t>sem data</t>
        </is>
      </c>
    </row>
    <row r="28">
      <c r="A28" s="23" t="inlineStr">
        <is>
          <t>Alessandro</t>
        </is>
      </c>
      <c r="B28" s="23" t="inlineStr">
        <is>
          <t>(sem marcação)</t>
        </is>
      </c>
      <c r="C28" s="23" t="inlineStr">
        <is>
          <t>(sem responsável)</t>
        </is>
      </c>
      <c r="D28" s="23" t="inlineStr">
        <is>
          <t>Semana 2</t>
        </is>
      </c>
      <c r="E28" s="47" t="n"/>
      <c r="F28" s="23" t="inlineStr">
        <is>
          <t>Reunião Feita</t>
        </is>
      </c>
      <c r="G28" s="23" t="inlineStr">
        <is>
          <t>🌤️ Morna</t>
        </is>
      </c>
      <c r="H28" s="23" t="inlineStr">
        <is>
          <t>Pediu retorno / follow-up</t>
        </is>
      </c>
      <c r="I28" s="23" t="inlineStr">
        <is>
          <t>Voltar a falar com ele as 16</t>
        </is>
      </c>
      <c r="J28" s="48" t="n"/>
      <c r="K28" s="23" t="inlineStr">
        <is>
          <t>sem data</t>
        </is>
      </c>
    </row>
    <row r="29">
      <c r="A29" s="22" t="inlineStr">
        <is>
          <t>Renata</t>
        </is>
      </c>
      <c r="B29" s="22" t="inlineStr">
        <is>
          <t>Tayron</t>
        </is>
      </c>
      <c r="C29" s="22" t="inlineStr">
        <is>
          <t>(sem responsável)</t>
        </is>
      </c>
      <c r="D29" s="22" t="inlineStr">
        <is>
          <t>Semana 3</t>
        </is>
      </c>
      <c r="E29" s="45" t="n"/>
      <c r="F29" s="22" t="inlineStr">
        <is>
          <t>Reunião Feita</t>
        </is>
      </c>
      <c r="G29" s="22" t="inlineStr">
        <is>
          <t>🌤️ Morna</t>
        </is>
      </c>
      <c r="H29" s="22" t="inlineStr">
        <is>
          <t>Objeção: preço/orçamento</t>
        </is>
      </c>
      <c r="I29" s="22" t="inlineStr">
        <is>
          <t>Cotando valores para fechar MEI</t>
        </is>
      </c>
      <c r="J29" s="46" t="n"/>
      <c r="K29" s="22" t="inlineStr">
        <is>
          <t>sem data</t>
        </is>
      </c>
    </row>
    <row r="30">
      <c r="A30" s="23" t="inlineStr">
        <is>
          <t>Paula</t>
        </is>
      </c>
      <c r="B30" s="23" t="inlineStr">
        <is>
          <t>(sem marcação)</t>
        </is>
      </c>
      <c r="C30" s="23" t="inlineStr">
        <is>
          <t>Cláudio</t>
        </is>
      </c>
      <c r="D30" s="23" t="inlineStr">
        <is>
          <t>Semana 1</t>
        </is>
      </c>
      <c r="E30" s="47" t="n"/>
      <c r="F30" s="23" t="inlineStr">
        <is>
          <t>Reunião Feita</t>
        </is>
      </c>
      <c r="G30" s="23" t="inlineStr">
        <is>
          <t>❄️ Fria (sinal de perda)</t>
        </is>
      </c>
      <c r="H30" s="23" t="inlineStr">
        <is>
          <t>Provável perda, Decide com cônjuge/sócio</t>
        </is>
      </c>
      <c r="I30" s="23" t="inlineStr">
        <is>
          <t>Marido trocou de contabilidade a um dia e não tem interesse</t>
        </is>
      </c>
      <c r="J30" s="48" t="n"/>
      <c r="K30" s="23" t="inlineStr">
        <is>
          <t>sem data</t>
        </is>
      </c>
    </row>
  </sheetData>
  <autoFilter ref="A4:K3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39.05" customWidth="1" min="1" max="1"/>
    <col width="15.3" customWidth="1" min="2" max="2"/>
    <col width="14.35" customWidth="1" min="3" max="3"/>
    <col width="19.1" customWidth="1" min="4" max="4"/>
    <col width="73.25" customWidth="1" min="5" max="5"/>
    <col width="80" customWidth="1" min="6" max="6"/>
  </cols>
  <sheetData>
    <row r="1">
      <c r="A1" s="1" t="inlineStr">
        <is>
          <t>O que as observações das reuniões revelam (objeções, sinais de compra e de perda)</t>
        </is>
      </c>
    </row>
    <row r="2">
      <c r="A2" s="2" t="inlineStr">
        <is>
          <t>Período: setembro/2026  •  Gerado em 24/09/2026 15:31</t>
        </is>
      </c>
    </row>
    <row r="3"/>
    <row r="4">
      <c r="A4" s="42" t="inlineStr">
        <is>
          <t>Sinais mais frequentes</t>
        </is>
      </c>
    </row>
    <row r="5" ht="32" customHeight="1">
      <c r="A5" s="49" t="inlineStr">
        <is>
          <t>Sinal na observação</t>
        </is>
      </c>
      <c r="B5" s="49" t="inlineStr">
        <is>
          <t>Clientes</t>
        </is>
      </c>
      <c r="C5" s="50" t="n"/>
      <c r="D5" s="50" t="n"/>
      <c r="E5" s="50" t="n"/>
      <c r="F5" s="50" t="n"/>
    </row>
    <row r="6">
      <c r="A6" s="22" t="inlineStr">
        <is>
          <t>Pediu retorno / follow-up</t>
        </is>
      </c>
      <c r="B6" s="51" t="n">
        <v>12</v>
      </c>
      <c r="C6" s="50" t="n"/>
      <c r="D6" s="50" t="n"/>
      <c r="E6" s="50" t="n"/>
      <c r="F6" s="50" t="n"/>
    </row>
    <row r="7">
      <c r="A7" s="23" t="inlineStr">
        <is>
          <t>Objeção: preço/orçamento</t>
        </is>
      </c>
      <c r="B7" s="52" t="n">
        <v>9</v>
      </c>
      <c r="C7" s="50" t="n"/>
      <c r="D7" s="50" t="n"/>
      <c r="E7" s="50" t="n"/>
      <c r="F7" s="50" t="n"/>
    </row>
    <row r="8">
      <c r="A8" s="22" t="inlineStr">
        <is>
          <t>Promessa de fechamento</t>
        </is>
      </c>
      <c r="B8" s="51" t="n">
        <v>9</v>
      </c>
      <c r="C8" s="50" t="n"/>
      <c r="D8" s="50" t="n"/>
      <c r="E8" s="50" t="n"/>
      <c r="F8" s="50" t="n"/>
    </row>
    <row r="9">
      <c r="A9" s="23" t="inlineStr">
        <is>
          <t>Decide com cônjuge/sócio</t>
        </is>
      </c>
      <c r="B9" s="52" t="n">
        <v>6</v>
      </c>
      <c r="C9" s="50" t="n"/>
      <c r="D9" s="50" t="n"/>
      <c r="E9" s="50" t="n"/>
      <c r="F9" s="50" t="n"/>
    </row>
    <row r="10">
      <c r="A10" s="22" t="inlineStr">
        <is>
          <t>Só tirou dúvidas</t>
        </is>
      </c>
      <c r="B10" s="51" t="n">
        <v>4</v>
      </c>
      <c r="C10" s="50" t="n"/>
      <c r="D10" s="50" t="n"/>
      <c r="E10" s="50" t="n"/>
      <c r="F10" s="50" t="n"/>
    </row>
    <row r="11">
      <c r="A11" s="23" t="inlineStr">
        <is>
          <t>Comparando concorrentes</t>
        </is>
      </c>
      <c r="B11" s="52" t="n">
        <v>2</v>
      </c>
      <c r="C11" s="50" t="n"/>
      <c r="D11" s="50" t="n"/>
      <c r="E11" s="50" t="n"/>
      <c r="F11" s="50" t="n"/>
    </row>
    <row r="12">
      <c r="A12" s="22" t="inlineStr">
        <is>
          <t>Pediu contrato/proposta</t>
        </is>
      </c>
      <c r="B12" s="51" t="n">
        <v>1</v>
      </c>
      <c r="C12" s="50" t="n"/>
      <c r="D12" s="50" t="n"/>
      <c r="E12" s="50" t="n"/>
      <c r="F12" s="50" t="n"/>
    </row>
    <row r="13">
      <c r="A13" s="23" t="inlineStr">
        <is>
          <t>Provável perda</t>
        </is>
      </c>
      <c r="B13" s="52" t="n">
        <v>1</v>
      </c>
      <c r="C13" s="50" t="n"/>
      <c r="D13" s="50" t="n"/>
      <c r="E13" s="50" t="n"/>
      <c r="F13" s="50" t="n"/>
    </row>
    <row r="14">
      <c r="A14" s="50" t="n"/>
      <c r="B14" s="50" t="n"/>
      <c r="C14" s="50" t="n"/>
      <c r="D14" s="50" t="n"/>
      <c r="E14" s="50" t="n"/>
      <c r="F14" s="50" t="n"/>
    </row>
    <row r="15">
      <c r="A15" s="53" t="inlineStr">
        <is>
          <t>Sinal × status da reunião</t>
        </is>
      </c>
      <c r="B15" s="50" t="n"/>
      <c r="C15" s="50" t="n"/>
      <c r="D15" s="50" t="n"/>
      <c r="E15" s="50" t="n"/>
      <c r="F15" s="50" t="n"/>
    </row>
    <row r="16" ht="32" customHeight="1">
      <c r="A16" s="49" t="inlineStr">
        <is>
          <t>Sinal na observação</t>
        </is>
      </c>
      <c r="B16" s="49" t="inlineStr">
        <is>
          <t>Agendado</t>
        </is>
      </c>
      <c r="C16" s="49" t="inlineStr">
        <is>
          <t>Em negociação</t>
        </is>
      </c>
      <c r="D16" s="49" t="inlineStr">
        <is>
          <t>Fechado</t>
        </is>
      </c>
      <c r="E16" s="49" t="inlineStr">
        <is>
          <t>Reunião feita</t>
        </is>
      </c>
      <c r="F16" s="50" t="n"/>
    </row>
    <row r="17">
      <c r="A17" s="22" t="inlineStr">
        <is>
          <t>Comparando concorrentes</t>
        </is>
      </c>
      <c r="B17" s="51" t="n">
        <v>0</v>
      </c>
      <c r="C17" s="51" t="n">
        <v>0</v>
      </c>
      <c r="D17" s="51" t="n">
        <v>0</v>
      </c>
      <c r="E17" s="51" t="n">
        <v>2</v>
      </c>
      <c r="F17" s="50" t="n"/>
    </row>
    <row r="18">
      <c r="A18" s="23" t="inlineStr">
        <is>
          <t>Decide com cônjuge/sócio</t>
        </is>
      </c>
      <c r="B18" s="52" t="n">
        <v>0</v>
      </c>
      <c r="C18" s="52" t="n">
        <v>0</v>
      </c>
      <c r="D18" s="52" t="n">
        <v>2</v>
      </c>
      <c r="E18" s="52" t="n">
        <v>4</v>
      </c>
      <c r="F18" s="50" t="n"/>
    </row>
    <row r="19">
      <c r="A19" s="22" t="inlineStr">
        <is>
          <t>Objeção: preço/orçamento</t>
        </is>
      </c>
      <c r="B19" s="51" t="n">
        <v>0</v>
      </c>
      <c r="C19" s="51" t="n">
        <v>1</v>
      </c>
      <c r="D19" s="51" t="n">
        <v>0</v>
      </c>
      <c r="E19" s="51" t="n">
        <v>8</v>
      </c>
      <c r="F19" s="50" t="n"/>
    </row>
    <row r="20">
      <c r="A20" s="23" t="inlineStr">
        <is>
          <t>Pediu contrato/proposta</t>
        </is>
      </c>
      <c r="B20" s="52" t="n">
        <v>0</v>
      </c>
      <c r="C20" s="52" t="n">
        <v>1</v>
      </c>
      <c r="D20" s="52" t="n">
        <v>0</v>
      </c>
      <c r="E20" s="52" t="n">
        <v>0</v>
      </c>
      <c r="F20" s="50" t="n"/>
    </row>
    <row r="21">
      <c r="A21" s="22" t="inlineStr">
        <is>
          <t>Pediu retorno / follow-up</t>
        </is>
      </c>
      <c r="B21" s="51" t="n">
        <v>1</v>
      </c>
      <c r="C21" s="51" t="n">
        <v>2</v>
      </c>
      <c r="D21" s="51" t="n">
        <v>2</v>
      </c>
      <c r="E21" s="51" t="n">
        <v>7</v>
      </c>
      <c r="F21" s="50" t="n"/>
    </row>
    <row r="22">
      <c r="A22" s="23" t="inlineStr">
        <is>
          <t>Promessa de fechamento</t>
        </is>
      </c>
      <c r="B22" s="52" t="n">
        <v>1</v>
      </c>
      <c r="C22" s="52" t="n">
        <v>3</v>
      </c>
      <c r="D22" s="52" t="n">
        <v>2</v>
      </c>
      <c r="E22" s="52" t="n">
        <v>3</v>
      </c>
      <c r="F22" s="50" t="n"/>
    </row>
    <row r="23">
      <c r="A23" s="22" t="inlineStr">
        <is>
          <t>Provável perda</t>
        </is>
      </c>
      <c r="B23" s="51" t="n">
        <v>0</v>
      </c>
      <c r="C23" s="51" t="n">
        <v>0</v>
      </c>
      <c r="D23" s="51" t="n">
        <v>0</v>
      </c>
      <c r="E23" s="51" t="n">
        <v>1</v>
      </c>
      <c r="F23" s="50" t="n"/>
    </row>
    <row r="24">
      <c r="A24" s="23" t="inlineStr">
        <is>
          <t>Só tirou dúvidas</t>
        </is>
      </c>
      <c r="B24" s="52" t="n">
        <v>0</v>
      </c>
      <c r="C24" s="52" t="n">
        <v>0</v>
      </c>
      <c r="D24" s="52" t="n">
        <v>0</v>
      </c>
      <c r="E24" s="52" t="n">
        <v>4</v>
      </c>
      <c r="F24" s="50" t="n"/>
    </row>
    <row r="25">
      <c r="A25" s="54" t="inlineStr">
        <is>
          <t>TOTAL</t>
        </is>
      </c>
      <c r="B25" s="55">
        <f>SUM(B17:B24)</f>
        <v/>
      </c>
      <c r="C25" s="55">
        <f>SUM(C17:C24)</f>
        <v/>
      </c>
      <c r="D25" s="55">
        <f>SUM(D17:D24)</f>
        <v/>
      </c>
      <c r="E25" s="55">
        <f>SUM(E17:E24)</f>
        <v/>
      </c>
      <c r="F25" s="50" t="n"/>
    </row>
    <row r="26">
      <c r="A26" s="50" t="n"/>
      <c r="B26" s="50" t="n"/>
      <c r="C26" s="50" t="n"/>
      <c r="D26" s="50" t="n"/>
      <c r="E26" s="50" t="n"/>
      <c r="F26" s="50" t="n"/>
    </row>
    <row r="27">
      <c r="A27" s="53" t="inlineStr">
        <is>
          <t>Todas as observações, cliente a cliente</t>
        </is>
      </c>
      <c r="B27" s="50" t="n"/>
      <c r="C27" s="50" t="n"/>
      <c r="D27" s="50" t="n"/>
      <c r="E27" s="50" t="n"/>
      <c r="F27" s="50" t="n"/>
    </row>
    <row r="28" ht="32" customHeight="1">
      <c r="A28" s="49" t="inlineStr">
        <is>
          <t>Cliente</t>
        </is>
      </c>
      <c r="B28" s="49" t="inlineStr">
        <is>
          <t>Marcação</t>
        </is>
      </c>
      <c r="C28" s="49" t="inlineStr">
        <is>
          <t>Semana</t>
        </is>
      </c>
      <c r="D28" s="49" t="inlineStr">
        <is>
          <t>Status padronizado</t>
        </is>
      </c>
      <c r="E28" s="49" t="inlineStr">
        <is>
          <t>Sinais identificados</t>
        </is>
      </c>
      <c r="F28" s="49" t="inlineStr">
        <is>
          <t>Observação</t>
        </is>
      </c>
    </row>
    <row r="29">
      <c r="A29" s="22" t="inlineStr">
        <is>
          <t>Tarini</t>
        </is>
      </c>
      <c r="B29" s="22" t="inlineStr">
        <is>
          <t>(sem marcação)</t>
        </is>
      </c>
      <c r="C29" s="22" t="inlineStr">
        <is>
          <t>Semana 1</t>
        </is>
      </c>
      <c r="D29" s="22" t="inlineStr">
        <is>
          <t>Reunião feita</t>
        </is>
      </c>
      <c r="E29" s="22" t="inlineStr">
        <is>
          <t>Só tirou dúvidas</t>
        </is>
      </c>
      <c r="F29" s="22" t="inlineStr">
        <is>
          <t>Apenas tirar dúvidas</t>
        </is>
      </c>
    </row>
    <row r="30">
      <c r="A30" s="23" t="inlineStr">
        <is>
          <t>Mariana</t>
        </is>
      </c>
      <c r="B30" s="23" t="inlineStr">
        <is>
          <t>(sem marcação)</t>
        </is>
      </c>
      <c r="C30" s="23" t="inlineStr">
        <is>
          <t>Semana 1</t>
        </is>
      </c>
      <c r="D30" s="23" t="inlineStr">
        <is>
          <t>Reunião feita</t>
        </is>
      </c>
      <c r="E30" s="23" t="inlineStr">
        <is>
          <t>Decide com cônjuge/sócio</t>
        </is>
      </c>
      <c r="F30" s="23" t="inlineStr">
        <is>
          <t>Analisando com o Marido</t>
        </is>
      </c>
    </row>
    <row r="31">
      <c r="A31" s="22" t="inlineStr">
        <is>
          <t>Felipe</t>
        </is>
      </c>
      <c r="B31" s="22" t="inlineStr">
        <is>
          <t>(sem marcação)</t>
        </is>
      </c>
      <c r="C31" s="22" t="inlineStr">
        <is>
          <t>Semana 1</t>
        </is>
      </c>
      <c r="D31" s="22" t="inlineStr">
        <is>
          <t>Fechado</t>
        </is>
      </c>
      <c r="E31" s="22" t="inlineStr">
        <is>
          <t>—</t>
        </is>
      </c>
      <c r="F31" s="22" t="inlineStr">
        <is>
          <t>Como MEI e em 3 meses pretende virar ME</t>
        </is>
      </c>
    </row>
    <row r="32">
      <c r="A32" s="23" t="inlineStr">
        <is>
          <t>Edgar</t>
        </is>
      </c>
      <c r="B32" s="23" t="inlineStr">
        <is>
          <t>(sem marcação)</t>
        </is>
      </c>
      <c r="C32" s="23" t="inlineStr">
        <is>
          <t>Semana 1</t>
        </is>
      </c>
      <c r="D32" s="23" t="inlineStr">
        <is>
          <t>Reunião feita</t>
        </is>
      </c>
      <c r="E32" s="23" t="inlineStr">
        <is>
          <t>Promessa de fechamento</t>
        </is>
      </c>
      <c r="F32" s="23" t="inlineStr">
        <is>
          <t>Quer fechar como MEI e se planejar para migrar</t>
        </is>
      </c>
    </row>
    <row r="33">
      <c r="A33" s="22" t="inlineStr">
        <is>
          <t>Paula</t>
        </is>
      </c>
      <c r="B33" s="22" t="inlineStr">
        <is>
          <t>(sem marcação)</t>
        </is>
      </c>
      <c r="C33" s="22" t="inlineStr">
        <is>
          <t>Semana 1</t>
        </is>
      </c>
      <c r="D33" s="22" t="inlineStr">
        <is>
          <t>Reunião feita</t>
        </is>
      </c>
      <c r="E33" s="22" t="inlineStr">
        <is>
          <t>Provável perda, Decide com cônjuge/sócio</t>
        </is>
      </c>
      <c r="F33" s="22" t="inlineStr">
        <is>
          <t>Marido trocou de contabilidade a um dia e não tem interesse</t>
        </is>
      </c>
    </row>
    <row r="34">
      <c r="A34" s="23" t="inlineStr">
        <is>
          <t>Bruna</t>
        </is>
      </c>
      <c r="B34" s="23" t="inlineStr">
        <is>
          <t>(sem marcação)</t>
        </is>
      </c>
      <c r="C34" s="23" t="inlineStr">
        <is>
          <t>Semana 1</t>
        </is>
      </c>
      <c r="D34" s="23" t="inlineStr">
        <is>
          <t>Agendado</t>
        </is>
      </c>
      <c r="E34" s="23" t="inlineStr">
        <is>
          <t>Promessa de fechamento, Pediu retorno / follow-up</t>
        </is>
      </c>
      <c r="F34" s="23" t="inlineStr">
        <is>
          <t>Falar no final do mês quer fechar</t>
        </is>
      </c>
    </row>
    <row r="35">
      <c r="A35" s="22" t="inlineStr">
        <is>
          <t>Alexandre</t>
        </is>
      </c>
      <c r="B35" s="22" t="inlineStr">
        <is>
          <t>(sem marcação)</t>
        </is>
      </c>
      <c r="C35" s="22" t="inlineStr">
        <is>
          <t>Semana 1</t>
        </is>
      </c>
      <c r="D35" s="22" t="inlineStr">
        <is>
          <t>Reunião feita</t>
        </is>
      </c>
      <c r="E35" s="22" t="inlineStr">
        <is>
          <t>Comparando concorrentes, Pediu retorno / follow-up</t>
        </is>
      </c>
      <c r="F35" s="22" t="inlineStr">
        <is>
          <t>Pediu para retornar em 2 semanas que está analisando outras opções</t>
        </is>
      </c>
    </row>
    <row r="36">
      <c r="A36" s="23" t="inlineStr">
        <is>
          <t>Fernando e Lucas</t>
        </is>
      </c>
      <c r="B36" s="23" t="inlineStr">
        <is>
          <t>(sem marcação)</t>
        </is>
      </c>
      <c r="C36" s="23" t="inlineStr">
        <is>
          <t>Semana 1</t>
        </is>
      </c>
      <c r="D36" s="23" t="inlineStr">
        <is>
          <t>Reunião feita</t>
        </is>
      </c>
      <c r="E36" s="23" t="inlineStr">
        <is>
          <t>Pediu retorno / follow-up</t>
        </is>
      </c>
      <c r="F36" s="23" t="inlineStr">
        <is>
          <t>Retornar em 2 semanas que são 3 ME´s</t>
        </is>
      </c>
    </row>
    <row r="37">
      <c r="A37" s="22" t="inlineStr">
        <is>
          <t>Victor Alves</t>
        </is>
      </c>
      <c r="B37" s="22" t="inlineStr">
        <is>
          <t>(sem marcação)</t>
        </is>
      </c>
      <c r="C37" s="22" t="inlineStr">
        <is>
          <t>Semana 1</t>
        </is>
      </c>
      <c r="D37" s="22" t="inlineStr">
        <is>
          <t>Reunião feita</t>
        </is>
      </c>
      <c r="E37" s="22" t="inlineStr">
        <is>
          <t>Decide com cônjuge/sócio, Pediu retorno / follow-up</t>
        </is>
      </c>
      <c r="F37" s="22" t="inlineStr">
        <is>
          <t>Retornar em 1 semana que verá com a Esposa</t>
        </is>
      </c>
    </row>
    <row r="38">
      <c r="A38" s="23" t="inlineStr">
        <is>
          <t>Daniel</t>
        </is>
      </c>
      <c r="B38" s="23" t="inlineStr">
        <is>
          <t>(sem marcação)</t>
        </is>
      </c>
      <c r="C38" s="23" t="inlineStr">
        <is>
          <t>Semana 1</t>
        </is>
      </c>
      <c r="D38" s="23" t="inlineStr">
        <is>
          <t>Fechado</t>
        </is>
      </c>
      <c r="E38" s="23" t="inlineStr">
        <is>
          <t>Decide com cônjuge/sócio, Pediu retorno / follow-up</t>
        </is>
      </c>
      <c r="F38" s="23" t="inlineStr">
        <is>
          <t>Gostou muito e vai falar com a esposa e pediu para retornarmos Terça para dar andamento</t>
        </is>
      </c>
    </row>
    <row r="39">
      <c r="A39" s="22" t="inlineStr">
        <is>
          <t>Telma</t>
        </is>
      </c>
      <c r="B39" s="22" t="inlineStr">
        <is>
          <t>(sem marcação)</t>
        </is>
      </c>
      <c r="C39" s="22" t="inlineStr">
        <is>
          <t>Semana 2</t>
        </is>
      </c>
      <c r="D39" s="22" t="inlineStr">
        <is>
          <t>Reunião feita</t>
        </is>
      </c>
      <c r="E39" s="22" t="inlineStr">
        <is>
          <t>Pediu retorno / follow-up</t>
        </is>
      </c>
      <c r="F39" s="22" t="inlineStr">
        <is>
          <t>Falar em uma semana pros dois apps</t>
        </is>
      </c>
    </row>
    <row r="40">
      <c r="A40" s="23" t="inlineStr">
        <is>
          <t>Malu</t>
        </is>
      </c>
      <c r="B40" s="23" t="inlineStr">
        <is>
          <t>Tayron</t>
        </is>
      </c>
      <c r="C40" s="23" t="inlineStr">
        <is>
          <t>Semana 2</t>
        </is>
      </c>
      <c r="D40" s="23" t="inlineStr">
        <is>
          <t>Fechado</t>
        </is>
      </c>
      <c r="E40" s="23" t="inlineStr">
        <is>
          <t>Decide com cônjuge/sócio, Promessa de fechamento</t>
        </is>
      </c>
      <c r="F40" s="23" t="inlineStr">
        <is>
          <t>Irão conversar entre eles e decidirão amanhã ás 16:00</t>
        </is>
      </c>
    </row>
    <row r="41">
      <c r="A41" s="22" t="inlineStr">
        <is>
          <t>Débora</t>
        </is>
      </c>
      <c r="B41" s="22" t="inlineStr">
        <is>
          <t>(sem marcação)</t>
        </is>
      </c>
      <c r="C41" s="22" t="inlineStr">
        <is>
          <t>Semana 2</t>
        </is>
      </c>
      <c r="D41" s="22" t="inlineStr">
        <is>
          <t>Reunião feita</t>
        </is>
      </c>
      <c r="E41" s="22" t="inlineStr">
        <is>
          <t>Objeção: preço/orçamento, Só tirou dúvidas</t>
        </is>
      </c>
      <c r="F41" s="22" t="inlineStr">
        <is>
          <t>Não tinha orçamento e tirou dúvidas, quando o negócio alavancar, volta</t>
        </is>
      </c>
    </row>
    <row r="42">
      <c r="A42" s="23" t="inlineStr">
        <is>
          <t>Carol</t>
        </is>
      </c>
      <c r="B42" s="23" t="inlineStr">
        <is>
          <t>(sem marcação)</t>
        </is>
      </c>
      <c r="C42" s="23" t="inlineStr">
        <is>
          <t>Semana 2</t>
        </is>
      </c>
      <c r="D42" s="23" t="inlineStr">
        <is>
          <t>Reunião feita</t>
        </is>
      </c>
      <c r="E42" s="23" t="inlineStr">
        <is>
          <t>Decide com cônjuge/sócio, Pediu retorno / follow-up</t>
        </is>
      </c>
      <c r="F42" s="23" t="inlineStr">
        <is>
          <t>Vai ver com o Marido e retorna</t>
        </is>
      </c>
    </row>
    <row r="43">
      <c r="A43" s="22" t="inlineStr">
        <is>
          <t>Levi</t>
        </is>
      </c>
      <c r="B43" s="22" t="inlineStr">
        <is>
          <t>(sem marcação)</t>
        </is>
      </c>
      <c r="C43" s="22" t="inlineStr">
        <is>
          <t>Semana 2</t>
        </is>
      </c>
      <c r="D43" s="22" t="inlineStr">
        <is>
          <t>Em negociação</t>
        </is>
      </c>
      <c r="E43" s="22" t="inlineStr">
        <is>
          <t>Promessa de fechamento, Pediu retorno / follow-up</t>
        </is>
      </c>
      <c r="F43" s="22" t="inlineStr">
        <is>
          <t>Fecha em Outubro</t>
        </is>
      </c>
    </row>
    <row r="44">
      <c r="A44" s="23" t="inlineStr">
        <is>
          <t>Genilson</t>
        </is>
      </c>
      <c r="B44" s="23" t="inlineStr">
        <is>
          <t>(sem marcação)</t>
        </is>
      </c>
      <c r="C44" s="23" t="inlineStr">
        <is>
          <t>Semana 2</t>
        </is>
      </c>
      <c r="D44" s="23" t="inlineStr">
        <is>
          <t>Reunião feita</t>
        </is>
      </c>
      <c r="E44" s="23" t="inlineStr">
        <is>
          <t>Objeção: preço/orçamento, Só tirou dúvidas</t>
        </is>
      </c>
      <c r="F44" s="23" t="inlineStr">
        <is>
          <t>Não tinha orçamento e tirou dúvidas, quando o negócio alavancar, volta</t>
        </is>
      </c>
    </row>
    <row r="45">
      <c r="A45" s="22" t="inlineStr">
        <is>
          <t>Lorena</t>
        </is>
      </c>
      <c r="B45" s="22" t="inlineStr">
        <is>
          <t>(sem marcação)</t>
        </is>
      </c>
      <c r="C45" s="22" t="inlineStr">
        <is>
          <t>Semana 2</t>
        </is>
      </c>
      <c r="D45" s="22" t="inlineStr">
        <is>
          <t>Reunião feita</t>
        </is>
      </c>
      <c r="E45" s="22" t="inlineStr">
        <is>
          <t>Objeção: preço/orçamento, Só tirou dúvidas</t>
        </is>
      </c>
      <c r="F45" s="22" t="inlineStr">
        <is>
          <t>Não tinha orçamento e tirou dúvidas, quando o negócio alavancar, volta</t>
        </is>
      </c>
    </row>
    <row r="46">
      <c r="A46" s="23" t="inlineStr">
        <is>
          <t>Naiany</t>
        </is>
      </c>
      <c r="B46" s="23" t="inlineStr">
        <is>
          <t>(sem marcação)</t>
        </is>
      </c>
      <c r="C46" s="23" t="inlineStr">
        <is>
          <t>Semana 2</t>
        </is>
      </c>
      <c r="D46" s="23" t="inlineStr">
        <is>
          <t>Reunião feita</t>
        </is>
      </c>
      <c r="E46" s="23" t="inlineStr">
        <is>
          <t>Objeção: preço/orçamento, Promessa de fechamento</t>
        </is>
      </c>
      <c r="F46" s="23" t="inlineStr">
        <is>
          <t>Vai fechar dia 15 quando termina o fluxo de pagamento dos clientes</t>
        </is>
      </c>
    </row>
    <row r="47">
      <c r="A47" s="22" t="inlineStr">
        <is>
          <t>Alessandro</t>
        </is>
      </c>
      <c r="B47" s="22" t="inlineStr">
        <is>
          <t>(sem marcação)</t>
        </is>
      </c>
      <c r="C47" s="22" t="inlineStr">
        <is>
          <t>Semana 2</t>
        </is>
      </c>
      <c r="D47" s="22" t="inlineStr">
        <is>
          <t>Reunião feita</t>
        </is>
      </c>
      <c r="E47" s="22" t="inlineStr">
        <is>
          <t>Pediu retorno / follow-up</t>
        </is>
      </c>
      <c r="F47" s="22" t="inlineStr">
        <is>
          <t>Voltar a falar com ele as 16</t>
        </is>
      </c>
    </row>
    <row r="48">
      <c r="A48" s="23" t="inlineStr">
        <is>
          <t>Jean</t>
        </is>
      </c>
      <c r="B48" s="23" t="inlineStr">
        <is>
          <t>(sem marcação)</t>
        </is>
      </c>
      <c r="C48" s="23" t="inlineStr">
        <is>
          <t>Semana 2</t>
        </is>
      </c>
      <c r="D48" s="23" t="inlineStr">
        <is>
          <t>Fechado</t>
        </is>
      </c>
      <c r="E48" s="23" t="inlineStr">
        <is>
          <t>Promessa de fechamento, Pediu retorno / follow-up</t>
        </is>
      </c>
      <c r="F48" s="23" t="inlineStr">
        <is>
          <t>Falar com ele Terça feira e irá fechar</t>
        </is>
      </c>
    </row>
    <row r="49">
      <c r="A49" s="22" t="inlineStr">
        <is>
          <t>Vinicius</t>
        </is>
      </c>
      <c r="B49" s="22" t="inlineStr">
        <is>
          <t>Tayron</t>
        </is>
      </c>
      <c r="C49" s="22" t="inlineStr">
        <is>
          <t>Semana 3</t>
        </is>
      </c>
      <c r="D49" s="22" t="inlineStr">
        <is>
          <t>Fechado</t>
        </is>
      </c>
      <c r="E49" s="22" t="inlineStr">
        <is>
          <t>—</t>
        </is>
      </c>
      <c r="F49" s="22" t="inlineStr">
        <is>
          <t>Fechou MEI</t>
        </is>
      </c>
    </row>
    <row r="50">
      <c r="A50" s="23" t="inlineStr">
        <is>
          <t>Renata</t>
        </is>
      </c>
      <c r="B50" s="23" t="inlineStr">
        <is>
          <t>Tayron</t>
        </is>
      </c>
      <c r="C50" s="23" t="inlineStr">
        <is>
          <t>Semana 3</t>
        </is>
      </c>
      <c r="D50" s="23" t="inlineStr">
        <is>
          <t>Reunião feita</t>
        </is>
      </c>
      <c r="E50" s="23" t="inlineStr">
        <is>
          <t>Objeção: preço/orçamento</t>
        </is>
      </c>
      <c r="F50" s="23" t="inlineStr">
        <is>
          <t>Cotando valores para fechar MEI</t>
        </is>
      </c>
    </row>
    <row r="51">
      <c r="A51" s="22" t="inlineStr">
        <is>
          <t>Guga</t>
        </is>
      </c>
      <c r="B51" s="22" t="inlineStr">
        <is>
          <t>(sem marcação)</t>
        </is>
      </c>
      <c r="C51" s="22" t="inlineStr">
        <is>
          <t>Semana 3</t>
        </is>
      </c>
      <c r="D51" s="22" t="inlineStr">
        <is>
          <t>Reunião feita</t>
        </is>
      </c>
      <c r="E51" s="22" t="inlineStr">
        <is>
          <t>Objeção: preço/orçamento</t>
        </is>
      </c>
      <c r="F51" s="22" t="inlineStr">
        <is>
          <t>Achou caro</t>
        </is>
      </c>
    </row>
    <row r="52">
      <c r="A52" s="23" t="inlineStr">
        <is>
          <t>Márcia</t>
        </is>
      </c>
      <c r="B52" s="23" t="inlineStr">
        <is>
          <t>(sem marcação)</t>
        </is>
      </c>
      <c r="C52" s="23" t="inlineStr">
        <is>
          <t>Semana 3</t>
        </is>
      </c>
      <c r="D52" s="23" t="inlineStr">
        <is>
          <t>Reunião feita</t>
        </is>
      </c>
      <c r="E52" s="23" t="inlineStr">
        <is>
          <t>Comparando concorrentes</t>
        </is>
      </c>
      <c r="F52" s="23" t="inlineStr">
        <is>
          <t>Desenquadrada na sua agência e analisa a contratação</t>
        </is>
      </c>
    </row>
    <row r="53">
      <c r="A53" s="22" t="inlineStr">
        <is>
          <t>Carlos</t>
        </is>
      </c>
      <c r="B53" s="22" t="inlineStr">
        <is>
          <t>(sem marcação)</t>
        </is>
      </c>
      <c r="C53" s="22" t="inlineStr">
        <is>
          <t>Semana 3</t>
        </is>
      </c>
      <c r="D53" s="22" t="inlineStr">
        <is>
          <t>Reunião feita</t>
        </is>
      </c>
      <c r="E53" s="22" t="inlineStr">
        <is>
          <t>—</t>
        </is>
      </c>
      <c r="F53" s="22" t="inlineStr">
        <is>
          <t>Calado a call inteira quase e agora está analisando</t>
        </is>
      </c>
    </row>
    <row r="54">
      <c r="A54" s="23" t="inlineStr">
        <is>
          <t>Miguel</t>
        </is>
      </c>
      <c r="B54" s="23" t="inlineStr">
        <is>
          <t>(sem marcação)</t>
        </is>
      </c>
      <c r="C54" s="23" t="inlineStr">
        <is>
          <t>Semana 3</t>
        </is>
      </c>
      <c r="D54" s="23" t="inlineStr">
        <is>
          <t>Reunião feita</t>
        </is>
      </c>
      <c r="E54" s="23" t="inlineStr">
        <is>
          <t>Objeção: preço/orçamento</t>
        </is>
      </c>
      <c r="F54" s="23" t="inlineStr">
        <is>
          <t>Gostou muito da Conforme mas pechinchou muito</t>
        </is>
      </c>
    </row>
    <row r="55">
      <c r="A55" s="22" t="inlineStr">
        <is>
          <t>Caíke</t>
        </is>
      </c>
      <c r="B55" s="22" t="inlineStr">
        <is>
          <t>(sem marcação)</t>
        </is>
      </c>
      <c r="C55" s="22" t="inlineStr">
        <is>
          <t>Semana 3</t>
        </is>
      </c>
      <c r="D55" s="22" t="inlineStr">
        <is>
          <t>Em negociação</t>
        </is>
      </c>
      <c r="E55" s="22" t="inlineStr">
        <is>
          <t>Objeção: preço/orçamento, Promessa de fechamento</t>
        </is>
      </c>
      <c r="F55" s="22" t="inlineStr">
        <is>
          <t>Disse que fecharia amanhã quando recebesse um dinheiro</t>
        </is>
      </c>
    </row>
    <row r="56">
      <c r="A56" s="23" t="inlineStr">
        <is>
          <t>Erick</t>
        </is>
      </c>
      <c r="B56" s="23" t="inlineStr">
        <is>
          <t>(sem marcação)</t>
        </is>
      </c>
      <c r="C56" s="23" t="inlineStr">
        <is>
          <t>Semana 3</t>
        </is>
      </c>
      <c r="D56" s="23" t="inlineStr">
        <is>
          <t>Em negociação</t>
        </is>
      </c>
      <c r="E56" s="23" t="inlineStr">
        <is>
          <t>Pediu contrato/proposta</t>
        </is>
      </c>
      <c r="F56" s="23" t="inlineStr">
        <is>
          <t>Gostou muito pediu o contrato para analisar</t>
        </is>
      </c>
    </row>
    <row r="57">
      <c r="A57" s="22" t="inlineStr">
        <is>
          <t>Guilherme</t>
        </is>
      </c>
      <c r="B57" s="22" t="inlineStr">
        <is>
          <t>(sem marcação)</t>
        </is>
      </c>
      <c r="C57" s="22" t="inlineStr">
        <is>
          <t>Semana 3</t>
        </is>
      </c>
      <c r="D57" s="22" t="inlineStr">
        <is>
          <t>Em negociação</t>
        </is>
      </c>
      <c r="E57" s="22" t="inlineStr">
        <is>
          <t>Promessa de fechamento, Pediu retorno / follow-up</t>
        </is>
      </c>
      <c r="F57" s="22" t="inlineStr">
        <is>
          <t>Follow up outubro - disse que fechava</t>
        </is>
      </c>
    </row>
    <row r="58">
      <c r="A58" s="23" t="inlineStr">
        <is>
          <t>Vitor</t>
        </is>
      </c>
      <c r="B58" s="23" t="inlineStr">
        <is>
          <t>(sem marcação)</t>
        </is>
      </c>
      <c r="C58" s="23" t="inlineStr">
        <is>
          <t>Semana 4</t>
        </is>
      </c>
      <c r="D58" s="23" t="inlineStr">
        <is>
          <t>Reunião feita</t>
        </is>
      </c>
      <c r="E58" s="23" t="inlineStr">
        <is>
          <t>Objeção: preço/orçamento, Promessa de fechamento, Pediu retorno / follow-up</t>
        </is>
      </c>
      <c r="F58" s="23" t="inlineStr">
        <is>
          <t>Irá fechar quando receber, falar toda semana</t>
        </is>
      </c>
    </row>
  </sheetData>
  <autoFilter ref="A5:B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26.7" customWidth="1" min="1" max="1"/>
  </cols>
  <sheetData>
    <row r="1">
      <c r="A1" s="1" t="inlineStr">
        <is>
          <t>Reuniões que não aconteceram — lista para recuperar</t>
        </is>
      </c>
    </row>
    <row r="2">
      <c r="A2" s="2" t="inlineStr">
        <is>
          <t>Período: setembro/2026  •  Gerado em 24/09/2026 15:31</t>
        </is>
      </c>
    </row>
    <row r="3"/>
    <row r="4">
      <c r="A4" s="2" t="inlineStr">
        <is>
          <t>Sem dados para este bloco.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05" customWidth="1" min="1" max="1"/>
    <col width="20.05" customWidth="1" min="2" max="2"/>
    <col width="17.2" customWidth="1" min="3" max="3"/>
    <col width="18.15" customWidth="1" min="4" max="4"/>
    <col width="35" customWidth="1" min="5" max="5"/>
    <col width="35" customWidth="1" min="6" max="6"/>
    <col width="16.25" customWidth="1" min="7" max="7"/>
    <col width="19.1" customWidth="1" min="8" max="8"/>
    <col width="20.05" customWidth="1" min="9" max="9"/>
    <col width="13.4" customWidth="1" min="10" max="10"/>
    <col width="14.35" customWidth="1" min="11" max="11"/>
    <col width="16.25" customWidth="1" min="12" max="12"/>
    <col width="14.35" customWidth="1" min="13" max="13"/>
    <col width="15.3" customWidth="1" min="14" max="14"/>
    <col width="35" customWidth="1" min="15" max="15"/>
    <col width="13.4" customWidth="1" min="16" max="16"/>
    <col width="10" customWidth="1" min="17" max="17"/>
    <col width="11.5" customWidth="1" min="18" max="18"/>
  </cols>
  <sheetData>
    <row r="1">
      <c r="A1" s="1" t="inlineStr">
        <is>
          <t>Base de reuniões do mês, já padronizada (use para conferir qualquer número)</t>
        </is>
      </c>
    </row>
    <row r="2">
      <c r="A2" s="2" t="inlineStr">
        <is>
          <t>Período: setembro/2026  •  Gerado em 24/09/2026 15:31</t>
        </is>
      </c>
    </row>
    <row r="3"/>
    <row r="4" ht="32" customHeight="1">
      <c r="A4" s="21" t="inlineStr">
        <is>
          <t>data_reuniao</t>
        </is>
      </c>
      <c r="B4" s="21" t="inlineStr">
        <is>
          <t>data_agendamento</t>
        </is>
      </c>
      <c r="C4" s="21" t="inlineStr">
        <is>
          <t>cliente</t>
        </is>
      </c>
      <c r="D4" s="21" t="inlineStr">
        <is>
          <t>responsavel</t>
        </is>
      </c>
      <c r="E4" s="21" t="inlineStr">
        <is>
          <t>observacoes</t>
        </is>
      </c>
      <c r="F4" s="21" t="inlineStr">
        <is>
          <t>arquivo_origem</t>
        </is>
      </c>
      <c r="G4" s="21" t="inlineStr">
        <is>
          <t>semana_planilha</t>
        </is>
      </c>
      <c r="H4" s="21" t="inlineStr">
        <is>
          <t>data_reuniao_texto</t>
        </is>
      </c>
      <c r="I4" s="21" t="inlineStr">
        <is>
          <t>data_referencia</t>
        </is>
      </c>
      <c r="J4" s="21" t="inlineStr">
        <is>
          <t>origem</t>
        </is>
      </c>
      <c r="K4" s="21" t="inlineStr">
        <is>
          <t>produto</t>
        </is>
      </c>
      <c r="L4" s="21" t="inlineStr">
        <is>
          <t>status_original</t>
        </is>
      </c>
      <c r="M4" s="21" t="inlineStr">
        <is>
          <t>status_padrao</t>
        </is>
      </c>
      <c r="N4" s="21" t="inlineStr">
        <is>
          <t>marcacao</t>
        </is>
      </c>
      <c r="O4" s="21" t="inlineStr">
        <is>
          <t>sinais_texto</t>
        </is>
      </c>
      <c r="P4" s="21" t="inlineStr">
        <is>
          <t>trafego_pago</t>
        </is>
      </c>
      <c r="Q4" s="21" t="inlineStr">
        <is>
          <t>semana</t>
        </is>
      </c>
      <c r="R4" s="21" t="inlineStr">
        <is>
          <t>dia_semana</t>
        </is>
      </c>
    </row>
    <row r="5">
      <c r="A5" s="56" t="n">
        <v>46266</v>
      </c>
      <c r="B5" s="56" t="n"/>
      <c r="C5" s="6" t="inlineStr">
        <is>
          <t>Tarini</t>
        </is>
      </c>
      <c r="D5" s="6" t="inlineStr">
        <is>
          <t>Cláudio</t>
        </is>
      </c>
      <c r="E5" s="6" t="inlineStr">
        <is>
          <t>Apenas tirar dúvidas</t>
        </is>
      </c>
      <c r="F5" s="6" t="inlineStr">
        <is>
          <t>Controle_Comercial_Conforme_-_Setembro.csv</t>
        </is>
      </c>
      <c r="G5" s="6" t="inlineStr">
        <is>
          <t>Semana 1</t>
        </is>
      </c>
      <c r="H5" s="6" t="inlineStr">
        <is>
          <t>01/09/2026</t>
        </is>
      </c>
      <c r="I5" s="56" t="n">
        <v>46266</v>
      </c>
      <c r="J5" s="6" t="inlineStr">
        <is>
          <t>(sem origem)</t>
        </is>
      </c>
      <c r="K5" s="6" t="inlineStr">
        <is>
          <t>(sem produto)</t>
        </is>
      </c>
      <c r="L5" s="6" t="inlineStr">
        <is>
          <t>Reunião Feita</t>
        </is>
      </c>
      <c r="M5" s="6" t="inlineStr">
        <is>
          <t>Reunião feita</t>
        </is>
      </c>
      <c r="N5" s="6" t="inlineStr">
        <is>
          <t>(sem marcação)</t>
        </is>
      </c>
      <c r="O5" s="6" t="inlineStr">
        <is>
          <t>Só tirou dúvidas</t>
        </is>
      </c>
      <c r="P5" s="27" t="b">
        <v>1</v>
      </c>
      <c r="Q5" s="6" t="inlineStr">
        <is>
          <t>Semana 1</t>
        </is>
      </c>
      <c r="R5" s="6" t="inlineStr">
        <is>
          <t>2-Terça</t>
        </is>
      </c>
    </row>
    <row r="6">
      <c r="A6" s="57" t="n">
        <v>46266</v>
      </c>
      <c r="B6" s="57" t="n">
        <v>46265</v>
      </c>
      <c r="C6" s="32" t="inlineStr">
        <is>
          <t>Mariana</t>
        </is>
      </c>
      <c r="D6" s="32" t="inlineStr">
        <is>
          <t>Cláudio</t>
        </is>
      </c>
      <c r="E6" s="32" t="inlineStr">
        <is>
          <t>Analisando com o Marido</t>
        </is>
      </c>
      <c r="F6" s="32" t="inlineStr">
        <is>
          <t>Controle_Comercial_Conforme_-_Setembro.csv</t>
        </is>
      </c>
      <c r="G6" s="32" t="inlineStr">
        <is>
          <t>Semana 1</t>
        </is>
      </c>
      <c r="H6" s="32" t="inlineStr">
        <is>
          <t>01/09/2026</t>
        </is>
      </c>
      <c r="I6" s="57" t="n">
        <v>46266</v>
      </c>
      <c r="J6" s="32" t="inlineStr">
        <is>
          <t>(sem origem)</t>
        </is>
      </c>
      <c r="K6" s="32" t="inlineStr">
        <is>
          <t>(sem produto)</t>
        </is>
      </c>
      <c r="L6" s="32" t="inlineStr">
        <is>
          <t>Reunião Feita</t>
        </is>
      </c>
      <c r="M6" s="32" t="inlineStr">
        <is>
          <t>Reunião feita</t>
        </is>
      </c>
      <c r="N6" s="32" t="inlineStr">
        <is>
          <t>(sem marcação)</t>
        </is>
      </c>
      <c r="O6" s="32" t="inlineStr">
        <is>
          <t>Decide com cônjuge/sócio</t>
        </is>
      </c>
      <c r="P6" s="34" t="b">
        <v>1</v>
      </c>
      <c r="Q6" s="32" t="inlineStr">
        <is>
          <t>Semana 1</t>
        </is>
      </c>
      <c r="R6" s="32" t="inlineStr">
        <is>
          <t>2-Terça</t>
        </is>
      </c>
    </row>
    <row r="7">
      <c r="A7" s="56" t="n">
        <v>46266</v>
      </c>
      <c r="B7" s="56" t="n"/>
      <c r="C7" s="6" t="inlineStr">
        <is>
          <t>Felipe</t>
        </is>
      </c>
      <c r="D7" s="6" t="inlineStr">
        <is>
          <t>Cláudio</t>
        </is>
      </c>
      <c r="E7" s="6" t="inlineStr">
        <is>
          <t>Como MEI e em 3 meses pretende virar ME</t>
        </is>
      </c>
      <c r="F7" s="6" t="inlineStr">
        <is>
          <t>Controle_Comercial_Conforme_-_Setembro.csv</t>
        </is>
      </c>
      <c r="G7" s="6" t="inlineStr">
        <is>
          <t>Semana 1</t>
        </is>
      </c>
      <c r="H7" s="6" t="inlineStr">
        <is>
          <t>01/09/2026</t>
        </is>
      </c>
      <c r="I7" s="56" t="n">
        <v>46266</v>
      </c>
      <c r="J7" s="6" t="inlineStr">
        <is>
          <t>(sem origem)</t>
        </is>
      </c>
      <c r="K7" s="6" t="inlineStr">
        <is>
          <t>(sem produto)</t>
        </is>
      </c>
      <c r="L7" s="6" t="inlineStr">
        <is>
          <t>Fechado</t>
        </is>
      </c>
      <c r="M7" s="6" t="inlineStr">
        <is>
          <t>Fechado</t>
        </is>
      </c>
      <c r="N7" s="6" t="inlineStr">
        <is>
          <t>(sem marcação)</t>
        </is>
      </c>
      <c r="O7" s="6" t="n"/>
      <c r="P7" s="27" t="b">
        <v>1</v>
      </c>
      <c r="Q7" s="6" t="inlineStr">
        <is>
          <t>Semana 1</t>
        </is>
      </c>
      <c r="R7" s="6" t="inlineStr">
        <is>
          <t>2-Terça</t>
        </is>
      </c>
    </row>
    <row r="8">
      <c r="A8" s="57" t="n">
        <v>46267</v>
      </c>
      <c r="B8" s="57" t="n"/>
      <c r="C8" s="32" t="inlineStr">
        <is>
          <t>Edgar</t>
        </is>
      </c>
      <c r="D8" s="32" t="inlineStr">
        <is>
          <t>Cláudio</t>
        </is>
      </c>
      <c r="E8" s="32" t="inlineStr">
        <is>
          <t>Quer fechar como MEI e se planejar para migrar</t>
        </is>
      </c>
      <c r="F8" s="32" t="inlineStr">
        <is>
          <t>Controle_Comercial_Conforme_-_Setembro.csv</t>
        </is>
      </c>
      <c r="G8" s="32" t="inlineStr">
        <is>
          <t>Semana 1</t>
        </is>
      </c>
      <c r="H8" s="32" t="inlineStr">
        <is>
          <t>02/09/2026</t>
        </is>
      </c>
      <c r="I8" s="57" t="n">
        <v>46267</v>
      </c>
      <c r="J8" s="32" t="inlineStr">
        <is>
          <t>(sem origem)</t>
        </is>
      </c>
      <c r="K8" s="32" t="inlineStr">
        <is>
          <t>(sem produto)</t>
        </is>
      </c>
      <c r="L8" s="32" t="inlineStr">
        <is>
          <t>Reunião Feita</t>
        </is>
      </c>
      <c r="M8" s="32" t="inlineStr">
        <is>
          <t>Reunião feita</t>
        </is>
      </c>
      <c r="N8" s="32" t="inlineStr">
        <is>
          <t>(sem marcação)</t>
        </is>
      </c>
      <c r="O8" s="32" t="inlineStr">
        <is>
          <t>Promessa de fechamento</t>
        </is>
      </c>
      <c r="P8" s="34" t="b">
        <v>1</v>
      </c>
      <c r="Q8" s="32" t="inlineStr">
        <is>
          <t>Semana 1</t>
        </is>
      </c>
      <c r="R8" s="32" t="inlineStr">
        <is>
          <t>3-Quarta</t>
        </is>
      </c>
    </row>
    <row r="9">
      <c r="A9" s="56" t="n"/>
      <c r="B9" s="56" t="n"/>
      <c r="C9" s="6" t="inlineStr">
        <is>
          <t>Paula</t>
        </is>
      </c>
      <c r="D9" s="6" t="inlineStr">
        <is>
          <t>Cláudio</t>
        </is>
      </c>
      <c r="E9" s="6" t="inlineStr">
        <is>
          <t>Marido trocou de contabilidade a um dia e não tem interesse</t>
        </is>
      </c>
      <c r="F9" s="6" t="inlineStr">
        <is>
          <t>Controle_Comercial_Conforme_-_Setembro.csv</t>
        </is>
      </c>
      <c r="G9" s="6" t="inlineStr">
        <is>
          <t>Semana 1</t>
        </is>
      </c>
      <c r="H9" s="6" t="n"/>
      <c r="I9" s="56" t="n"/>
      <c r="J9" s="6" t="inlineStr">
        <is>
          <t>(sem origem)</t>
        </is>
      </c>
      <c r="K9" s="6" t="inlineStr">
        <is>
          <t>(sem produto)</t>
        </is>
      </c>
      <c r="L9" s="6" t="inlineStr">
        <is>
          <t>Reunião Feita</t>
        </is>
      </c>
      <c r="M9" s="6" t="inlineStr">
        <is>
          <t>Reunião feita</t>
        </is>
      </c>
      <c r="N9" s="6" t="inlineStr">
        <is>
          <t>(sem marcação)</t>
        </is>
      </c>
      <c r="O9" s="6" t="inlineStr">
        <is>
          <t>Provável perda, Decide com cônjuge/sócio</t>
        </is>
      </c>
      <c r="P9" s="27" t="b">
        <v>1</v>
      </c>
      <c r="Q9" s="6" t="inlineStr">
        <is>
          <t>Semana 1</t>
        </is>
      </c>
      <c r="R9" s="6" t="inlineStr">
        <is>
          <t>(sem data)</t>
        </is>
      </c>
    </row>
    <row r="10">
      <c r="A10" s="57" t="n"/>
      <c r="B10" s="57" t="n"/>
      <c r="C10" s="32" t="inlineStr">
        <is>
          <t>Bruna</t>
        </is>
      </c>
      <c r="D10" s="32" t="inlineStr">
        <is>
          <t>Cláudio</t>
        </is>
      </c>
      <c r="E10" s="32" t="inlineStr">
        <is>
          <t>Falar no final do mês quer fechar</t>
        </is>
      </c>
      <c r="F10" s="32" t="inlineStr">
        <is>
          <t>Controle_Comercial_Conforme_-_Setembro.csv</t>
        </is>
      </c>
      <c r="G10" s="32" t="inlineStr">
        <is>
          <t>Semana 1</t>
        </is>
      </c>
      <c r="H10" s="32" t="n"/>
      <c r="I10" s="57" t="n"/>
      <c r="J10" s="32" t="inlineStr">
        <is>
          <t>(sem origem)</t>
        </is>
      </c>
      <c r="K10" s="32" t="inlineStr">
        <is>
          <t>(sem produto)</t>
        </is>
      </c>
      <c r="L10" s="32" t="inlineStr">
        <is>
          <t>Agendado</t>
        </is>
      </c>
      <c r="M10" s="32" t="inlineStr">
        <is>
          <t>Agendado</t>
        </is>
      </c>
      <c r="N10" s="32" t="inlineStr">
        <is>
          <t>(sem marcação)</t>
        </is>
      </c>
      <c r="O10" s="32" t="inlineStr">
        <is>
          <t>Promessa de fechamento, Pediu retorno / follow-up</t>
        </is>
      </c>
      <c r="P10" s="34" t="b">
        <v>1</v>
      </c>
      <c r="Q10" s="32" t="inlineStr">
        <is>
          <t>Semana 1</t>
        </is>
      </c>
      <c r="R10" s="32" t="inlineStr">
        <is>
          <t>(sem data)</t>
        </is>
      </c>
    </row>
    <row r="11">
      <c r="A11" s="56" t="n"/>
      <c r="B11" s="56" t="n"/>
      <c r="C11" s="6" t="inlineStr">
        <is>
          <t>Alexandre</t>
        </is>
      </c>
      <c r="D11" s="6" t="inlineStr">
        <is>
          <t>(sem responsável)</t>
        </is>
      </c>
      <c r="E11" s="6" t="inlineStr">
        <is>
          <t>Pediu para retornar em 2 semanas que está analisando outras opções</t>
        </is>
      </c>
      <c r="F11" s="6" t="inlineStr">
        <is>
          <t>Controle_Comercial_Conforme_-_Setembro.csv</t>
        </is>
      </c>
      <c r="G11" s="6" t="inlineStr">
        <is>
          <t>Semana 1</t>
        </is>
      </c>
      <c r="H11" s="6" t="n"/>
      <c r="I11" s="56" t="n"/>
      <c r="J11" s="6" t="inlineStr">
        <is>
          <t>(sem origem)</t>
        </is>
      </c>
      <c r="K11" s="6" t="inlineStr">
        <is>
          <t>(sem produto)</t>
        </is>
      </c>
      <c r="L11" s="6" t="inlineStr">
        <is>
          <t>Reunião Feita</t>
        </is>
      </c>
      <c r="M11" s="6" t="inlineStr">
        <is>
          <t>Reunião feita</t>
        </is>
      </c>
      <c r="N11" s="6" t="inlineStr">
        <is>
          <t>(sem marcação)</t>
        </is>
      </c>
      <c r="O11" s="6" t="inlineStr">
        <is>
          <t>Comparando concorrentes, Pediu retorno / follow-up</t>
        </is>
      </c>
      <c r="P11" s="27" t="b">
        <v>1</v>
      </c>
      <c r="Q11" s="6" t="inlineStr">
        <is>
          <t>Semana 1</t>
        </is>
      </c>
      <c r="R11" s="6" t="inlineStr">
        <is>
          <t>(sem data)</t>
        </is>
      </c>
    </row>
    <row r="12">
      <c r="A12" s="57" t="n"/>
      <c r="B12" s="57" t="n"/>
      <c r="C12" s="32" t="inlineStr">
        <is>
          <t>Fernando e Lucas</t>
        </is>
      </c>
      <c r="D12" s="32" t="inlineStr">
        <is>
          <t>(sem responsável)</t>
        </is>
      </c>
      <c r="E12" s="32" t="inlineStr">
        <is>
          <t>Retornar em 2 semanas que são 3 ME´s</t>
        </is>
      </c>
      <c r="F12" s="32" t="inlineStr">
        <is>
          <t>Controle_Comercial_Conforme_-_Setembro.csv</t>
        </is>
      </c>
      <c r="G12" s="32" t="inlineStr">
        <is>
          <t>Semana 1</t>
        </is>
      </c>
      <c r="H12" s="32" t="n"/>
      <c r="I12" s="57" t="n"/>
      <c r="J12" s="32" t="inlineStr">
        <is>
          <t>(sem origem)</t>
        </is>
      </c>
      <c r="K12" s="32" t="inlineStr">
        <is>
          <t>(sem produto)</t>
        </is>
      </c>
      <c r="L12" s="32" t="inlineStr">
        <is>
          <t>Reunião Feita</t>
        </is>
      </c>
      <c r="M12" s="32" t="inlineStr">
        <is>
          <t>Reunião feita</t>
        </is>
      </c>
      <c r="N12" s="32" t="inlineStr">
        <is>
          <t>(sem marcação)</t>
        </is>
      </c>
      <c r="O12" s="32" t="inlineStr">
        <is>
          <t>Pediu retorno / follow-up</t>
        </is>
      </c>
      <c r="P12" s="34" t="b">
        <v>1</v>
      </c>
      <c r="Q12" s="32" t="inlineStr">
        <is>
          <t>Semana 1</t>
        </is>
      </c>
      <c r="R12" s="32" t="inlineStr">
        <is>
          <t>(sem data)</t>
        </is>
      </c>
    </row>
    <row r="13">
      <c r="A13" s="56" t="n"/>
      <c r="B13" s="56" t="n"/>
      <c r="C13" s="6" t="inlineStr">
        <is>
          <t>Victor Alves</t>
        </is>
      </c>
      <c r="D13" s="6" t="inlineStr">
        <is>
          <t>(sem responsável)</t>
        </is>
      </c>
      <c r="E13" s="6" t="inlineStr">
        <is>
          <t>Retornar em 1 semana que verá com a Esposa</t>
        </is>
      </c>
      <c r="F13" s="6" t="inlineStr">
        <is>
          <t>Controle_Comercial_Conforme_-_Setembro.csv</t>
        </is>
      </c>
      <c r="G13" s="6" t="inlineStr">
        <is>
          <t>Semana 1</t>
        </is>
      </c>
      <c r="H13" s="6" t="n"/>
      <c r="I13" s="56" t="n"/>
      <c r="J13" s="6" t="inlineStr">
        <is>
          <t>(sem origem)</t>
        </is>
      </c>
      <c r="K13" s="6" t="inlineStr">
        <is>
          <t>(sem produto)</t>
        </is>
      </c>
      <c r="L13" s="6" t="inlineStr">
        <is>
          <t>Reunião Feita</t>
        </is>
      </c>
      <c r="M13" s="6" t="inlineStr">
        <is>
          <t>Reunião feita</t>
        </is>
      </c>
      <c r="N13" s="6" t="inlineStr">
        <is>
          <t>(sem marcação)</t>
        </is>
      </c>
      <c r="O13" s="6" t="inlineStr">
        <is>
          <t>Decide com cônjuge/sócio, Pediu retorno / follow-up</t>
        </is>
      </c>
      <c r="P13" s="27" t="b">
        <v>1</v>
      </c>
      <c r="Q13" s="6" t="inlineStr">
        <is>
          <t>Semana 1</t>
        </is>
      </c>
      <c r="R13" s="6" t="inlineStr">
        <is>
          <t>(sem data)</t>
        </is>
      </c>
    </row>
    <row r="14">
      <c r="A14" s="57" t="n"/>
      <c r="B14" s="57" t="n"/>
      <c r="C14" s="32" t="inlineStr">
        <is>
          <t>Daniel</t>
        </is>
      </c>
      <c r="D14" s="32" t="inlineStr">
        <is>
          <t>(sem responsável)</t>
        </is>
      </c>
      <c r="E14" s="32" t="inlineStr">
        <is>
          <t>Gostou muito e vai falar com a esposa e pediu para retornarmos Terça para dar andamento</t>
        </is>
      </c>
      <c r="F14" s="32" t="inlineStr">
        <is>
          <t>Controle_Comercial_Conforme_-_Setembro.csv</t>
        </is>
      </c>
      <c r="G14" s="32" t="inlineStr">
        <is>
          <t>Semana 1</t>
        </is>
      </c>
      <c r="H14" s="32" t="n"/>
      <c r="I14" s="57" t="n"/>
      <c r="J14" s="32" t="inlineStr">
        <is>
          <t>(sem origem)</t>
        </is>
      </c>
      <c r="K14" s="32" t="inlineStr">
        <is>
          <t>(sem produto)</t>
        </is>
      </c>
      <c r="L14" s="32" t="inlineStr">
        <is>
          <t>Fechado</t>
        </is>
      </c>
      <c r="M14" s="32" t="inlineStr">
        <is>
          <t>Fechado</t>
        </is>
      </c>
      <c r="N14" s="32" t="inlineStr">
        <is>
          <t>(sem marcação)</t>
        </is>
      </c>
      <c r="O14" s="32" t="inlineStr">
        <is>
          <t>Decide com cônjuge/sócio, Pediu retorno / follow-up</t>
        </is>
      </c>
      <c r="P14" s="34" t="b">
        <v>1</v>
      </c>
      <c r="Q14" s="32" t="inlineStr">
        <is>
          <t>Semana 1</t>
        </is>
      </c>
      <c r="R14" s="32" t="inlineStr">
        <is>
          <t>(sem data)</t>
        </is>
      </c>
    </row>
    <row r="15">
      <c r="A15" s="56" t="n">
        <v>46269</v>
      </c>
      <c r="B15" s="56" t="n"/>
      <c r="C15" s="6" t="inlineStr">
        <is>
          <t>César</t>
        </is>
      </c>
      <c r="D15" s="6" t="inlineStr">
        <is>
          <t>(sem responsável)</t>
        </is>
      </c>
      <c r="E15" s="6" t="n"/>
      <c r="F15" s="6" t="inlineStr">
        <is>
          <t>Controle_Comercial_Conforme_-_Setembro.csv</t>
        </is>
      </c>
      <c r="G15" s="6" t="inlineStr">
        <is>
          <t>Semana 1</t>
        </is>
      </c>
      <c r="H15" s="6" t="inlineStr">
        <is>
          <t>04/09</t>
        </is>
      </c>
      <c r="I15" s="56" t="n">
        <v>46269</v>
      </c>
      <c r="J15" s="6" t="inlineStr">
        <is>
          <t>(sem origem)</t>
        </is>
      </c>
      <c r="K15" s="6" t="inlineStr">
        <is>
          <t>(sem produto)</t>
        </is>
      </c>
      <c r="L15" s="6" t="inlineStr">
        <is>
          <t>Fechado</t>
        </is>
      </c>
      <c r="M15" s="6" t="inlineStr">
        <is>
          <t>Fechado</t>
        </is>
      </c>
      <c r="N15" s="6" t="inlineStr">
        <is>
          <t>Tayron</t>
        </is>
      </c>
      <c r="O15" s="6" t="n"/>
      <c r="P15" s="27" t="b">
        <v>1</v>
      </c>
      <c r="Q15" s="6" t="inlineStr">
        <is>
          <t>Semana 1</t>
        </is>
      </c>
      <c r="R15" s="6" t="inlineStr">
        <is>
          <t>5-Sexta</t>
        </is>
      </c>
    </row>
    <row r="16">
      <c r="A16" s="57" t="n">
        <v>46269</v>
      </c>
      <c r="B16" s="57" t="n"/>
      <c r="C16" s="32" t="inlineStr">
        <is>
          <t>Gabryel</t>
        </is>
      </c>
      <c r="D16" s="32" t="inlineStr">
        <is>
          <t>(sem responsável)</t>
        </is>
      </c>
      <c r="E16" s="32" t="n"/>
      <c r="F16" s="32" t="inlineStr">
        <is>
          <t>Controle_Comercial_Conforme_-_Setembro.csv</t>
        </is>
      </c>
      <c r="G16" s="32" t="inlineStr">
        <is>
          <t>Semana 1</t>
        </is>
      </c>
      <c r="H16" s="32" t="inlineStr">
        <is>
          <t>04/09</t>
        </is>
      </c>
      <c r="I16" s="57" t="n">
        <v>46269</v>
      </c>
      <c r="J16" s="32" t="inlineStr">
        <is>
          <t>(sem origem)</t>
        </is>
      </c>
      <c r="K16" s="32" t="inlineStr">
        <is>
          <t>(sem produto)</t>
        </is>
      </c>
      <c r="L16" s="32" t="inlineStr">
        <is>
          <t>Reunião Feita</t>
        </is>
      </c>
      <c r="M16" s="32" t="inlineStr">
        <is>
          <t>Reunião feita</t>
        </is>
      </c>
      <c r="N16" s="32" t="inlineStr">
        <is>
          <t>(sem marcação)</t>
        </is>
      </c>
      <c r="O16" s="32" t="n"/>
      <c r="P16" s="34" t="b">
        <v>1</v>
      </c>
      <c r="Q16" s="32" t="inlineStr">
        <is>
          <t>Semana 1</t>
        </is>
      </c>
      <c r="R16" s="32" t="inlineStr">
        <is>
          <t>5-Sexta</t>
        </is>
      </c>
    </row>
    <row r="17">
      <c r="A17" s="56" t="n">
        <v>46210</v>
      </c>
      <c r="B17" s="56" t="n"/>
      <c r="C17" s="6" t="inlineStr">
        <is>
          <t>Telma</t>
        </is>
      </c>
      <c r="D17" s="6" t="inlineStr">
        <is>
          <t>(sem responsável)</t>
        </is>
      </c>
      <c r="E17" s="6" t="inlineStr">
        <is>
          <t>Falar em uma semana pros dois apps</t>
        </is>
      </c>
      <c r="F17" s="6" t="inlineStr">
        <is>
          <t>Controle_Comercial_Conforme_-_Setembro.csv</t>
        </is>
      </c>
      <c r="G17" s="6" t="inlineStr">
        <is>
          <t>Semana 2</t>
        </is>
      </c>
      <c r="H17" s="6" t="inlineStr">
        <is>
          <t>07/07/2026</t>
        </is>
      </c>
      <c r="I17" s="56" t="n">
        <v>46210</v>
      </c>
      <c r="J17" s="6" t="inlineStr">
        <is>
          <t>(sem origem)</t>
        </is>
      </c>
      <c r="K17" s="6" t="inlineStr">
        <is>
          <t>(sem produto)</t>
        </is>
      </c>
      <c r="L17" s="6" t="inlineStr">
        <is>
          <t>Reunião Feita</t>
        </is>
      </c>
      <c r="M17" s="6" t="inlineStr">
        <is>
          <t>Reunião feita</t>
        </is>
      </c>
      <c r="N17" s="6" t="inlineStr">
        <is>
          <t>(sem marcação)</t>
        </is>
      </c>
      <c r="O17" s="6" t="inlineStr">
        <is>
          <t>Pediu retorno / follow-up</t>
        </is>
      </c>
      <c r="P17" s="27" t="b">
        <v>1</v>
      </c>
      <c r="Q17" s="6" t="inlineStr">
        <is>
          <t>Semana 2</t>
        </is>
      </c>
      <c r="R17" s="6" t="inlineStr">
        <is>
          <t>2-Terça</t>
        </is>
      </c>
    </row>
    <row r="18">
      <c r="A18" s="57" t="n">
        <v>46273</v>
      </c>
      <c r="B18" s="57" t="n"/>
      <c r="C18" s="32" t="inlineStr">
        <is>
          <t>Malu</t>
        </is>
      </c>
      <c r="D18" s="32" t="inlineStr">
        <is>
          <t>(sem responsável)</t>
        </is>
      </c>
      <c r="E18" s="32" t="inlineStr">
        <is>
          <t>Irão conversar entre eles e decidirão amanhã ás 16:00</t>
        </is>
      </c>
      <c r="F18" s="32" t="inlineStr">
        <is>
          <t>Controle_Comercial_Conforme_-_Setembro.csv</t>
        </is>
      </c>
      <c r="G18" s="32" t="inlineStr">
        <is>
          <t>Semana 2</t>
        </is>
      </c>
      <c r="H18" s="32" t="inlineStr">
        <is>
          <t>08/09/ 2026</t>
        </is>
      </c>
      <c r="I18" s="57" t="n">
        <v>46273</v>
      </c>
      <c r="J18" s="32" t="inlineStr">
        <is>
          <t>(sem origem)</t>
        </is>
      </c>
      <c r="K18" s="32" t="inlineStr">
        <is>
          <t>(sem produto)</t>
        </is>
      </c>
      <c r="L18" s="32" t="inlineStr">
        <is>
          <t>Fechado</t>
        </is>
      </c>
      <c r="M18" s="32" t="inlineStr">
        <is>
          <t>Fechado</t>
        </is>
      </c>
      <c r="N18" s="32" t="inlineStr">
        <is>
          <t>Tayron</t>
        </is>
      </c>
      <c r="O18" s="32" t="inlineStr">
        <is>
          <t>Decide com cônjuge/sócio, Promessa de fechamento</t>
        </is>
      </c>
      <c r="P18" s="34" t="b">
        <v>1</v>
      </c>
      <c r="Q18" s="32" t="inlineStr">
        <is>
          <t>Semana 2</t>
        </is>
      </c>
      <c r="R18" s="32" t="inlineStr">
        <is>
          <t>2-Terça</t>
        </is>
      </c>
    </row>
    <row r="19">
      <c r="A19" s="56" t="n">
        <v>46273</v>
      </c>
      <c r="B19" s="56" t="n"/>
      <c r="C19" s="6" t="inlineStr">
        <is>
          <t>Débora</t>
        </is>
      </c>
      <c r="D19" s="6" t="inlineStr">
        <is>
          <t>(sem responsável)</t>
        </is>
      </c>
      <c r="E19" s="6" t="inlineStr">
        <is>
          <t>Não tinha orçamento e tirou dúvidas, quando o negócio alavancar, volta</t>
        </is>
      </c>
      <c r="F19" s="6" t="inlineStr">
        <is>
          <t>Controle_Comercial_Conforme_-_Setembro.csv</t>
        </is>
      </c>
      <c r="G19" s="6" t="inlineStr">
        <is>
          <t>Semana 2</t>
        </is>
      </c>
      <c r="H19" s="6" t="inlineStr">
        <is>
          <t>08/09/ 2026</t>
        </is>
      </c>
      <c r="I19" s="56" t="n">
        <v>46273</v>
      </c>
      <c r="J19" s="6" t="inlineStr">
        <is>
          <t>(sem origem)</t>
        </is>
      </c>
      <c r="K19" s="6" t="inlineStr">
        <is>
          <t>(sem produto)</t>
        </is>
      </c>
      <c r="L19" s="6" t="inlineStr">
        <is>
          <t>Reunião Feita</t>
        </is>
      </c>
      <c r="M19" s="6" t="inlineStr">
        <is>
          <t>Reunião feita</t>
        </is>
      </c>
      <c r="N19" s="6" t="inlineStr">
        <is>
          <t>(sem marcação)</t>
        </is>
      </c>
      <c r="O19" s="6" t="inlineStr">
        <is>
          <t>Objeção: preço/orçamento, Só tirou dúvidas</t>
        </is>
      </c>
      <c r="P19" s="27" t="b">
        <v>1</v>
      </c>
      <c r="Q19" s="6" t="inlineStr">
        <is>
          <t>Semana 2</t>
        </is>
      </c>
      <c r="R19" s="6" t="inlineStr">
        <is>
          <t>2-Terça</t>
        </is>
      </c>
    </row>
    <row r="20">
      <c r="A20" s="57" t="n">
        <v>46274</v>
      </c>
      <c r="B20" s="57" t="n"/>
      <c r="C20" s="32" t="inlineStr">
        <is>
          <t>Carol</t>
        </is>
      </c>
      <c r="D20" s="32" t="inlineStr">
        <is>
          <t>(sem responsável)</t>
        </is>
      </c>
      <c r="E20" s="32" t="inlineStr">
        <is>
          <t>Vai ver com o Marido e retorna</t>
        </is>
      </c>
      <c r="F20" s="32" t="inlineStr">
        <is>
          <t>Controle_Comercial_Conforme_-_Setembro.csv</t>
        </is>
      </c>
      <c r="G20" s="32" t="inlineStr">
        <is>
          <t>Semana 2</t>
        </is>
      </c>
      <c r="H20" s="32" t="inlineStr">
        <is>
          <t>09/09/2026</t>
        </is>
      </c>
      <c r="I20" s="57" t="n">
        <v>46274</v>
      </c>
      <c r="J20" s="32" t="inlineStr">
        <is>
          <t>(sem origem)</t>
        </is>
      </c>
      <c r="K20" s="32" t="inlineStr">
        <is>
          <t>(sem produto)</t>
        </is>
      </c>
      <c r="L20" s="32" t="inlineStr">
        <is>
          <t>Reunião Feita</t>
        </is>
      </c>
      <c r="M20" s="32" t="inlineStr">
        <is>
          <t>Reunião feita</t>
        </is>
      </c>
      <c r="N20" s="32" t="inlineStr">
        <is>
          <t>(sem marcação)</t>
        </is>
      </c>
      <c r="O20" s="32" t="inlineStr">
        <is>
          <t>Decide com cônjuge/sócio, Pediu retorno / follow-up</t>
        </is>
      </c>
      <c r="P20" s="34" t="b">
        <v>1</v>
      </c>
      <c r="Q20" s="32" t="inlineStr">
        <is>
          <t>Semana 2</t>
        </is>
      </c>
      <c r="R20" s="32" t="inlineStr">
        <is>
          <t>3-Quarta</t>
        </is>
      </c>
    </row>
    <row r="21">
      <c r="A21" s="56" t="n">
        <v>46274</v>
      </c>
      <c r="B21" s="56" t="n"/>
      <c r="C21" s="6" t="inlineStr">
        <is>
          <t>Levi</t>
        </is>
      </c>
      <c r="D21" s="6" t="inlineStr">
        <is>
          <t>(sem responsável)</t>
        </is>
      </c>
      <c r="E21" s="6" t="inlineStr">
        <is>
          <t>Fecha em Outubro</t>
        </is>
      </c>
      <c r="F21" s="6" t="inlineStr">
        <is>
          <t>Controle_Comercial_Conforme_-_Setembro.csv</t>
        </is>
      </c>
      <c r="G21" s="6" t="inlineStr">
        <is>
          <t>Semana 2</t>
        </is>
      </c>
      <c r="H21" s="6" t="inlineStr">
        <is>
          <t>09/09/2026</t>
        </is>
      </c>
      <c r="I21" s="56" t="n">
        <v>46274</v>
      </c>
      <c r="J21" s="6" t="inlineStr">
        <is>
          <t>(sem origem)</t>
        </is>
      </c>
      <c r="K21" s="6" t="inlineStr">
        <is>
          <t>(sem produto)</t>
        </is>
      </c>
      <c r="L21" s="6" t="inlineStr">
        <is>
          <t>Follow Up</t>
        </is>
      </c>
      <c r="M21" s="6" t="inlineStr">
        <is>
          <t>Em negociação</t>
        </is>
      </c>
      <c r="N21" s="6" t="inlineStr">
        <is>
          <t>(sem marcação)</t>
        </is>
      </c>
      <c r="O21" s="6" t="inlineStr">
        <is>
          <t>Promessa de fechamento, Pediu retorno / follow-up</t>
        </is>
      </c>
      <c r="P21" s="27" t="b">
        <v>1</v>
      </c>
      <c r="Q21" s="6" t="inlineStr">
        <is>
          <t>Semana 2</t>
        </is>
      </c>
      <c r="R21" s="6" t="inlineStr">
        <is>
          <t>3-Quarta</t>
        </is>
      </c>
    </row>
    <row r="22">
      <c r="A22" s="57" t="n">
        <v>46274</v>
      </c>
      <c r="B22" s="57" t="n"/>
      <c r="C22" s="32" t="inlineStr">
        <is>
          <t>Genilson</t>
        </is>
      </c>
      <c r="D22" s="32" t="inlineStr">
        <is>
          <t>(sem responsável)</t>
        </is>
      </c>
      <c r="E22" s="32" t="inlineStr">
        <is>
          <t>Não tinha orçamento e tirou dúvidas, quando o negócio alavancar, volta</t>
        </is>
      </c>
      <c r="F22" s="32" t="inlineStr">
        <is>
          <t>Controle_Comercial_Conforme_-_Setembro.csv</t>
        </is>
      </c>
      <c r="G22" s="32" t="inlineStr">
        <is>
          <t>Semana 2</t>
        </is>
      </c>
      <c r="H22" s="32" t="inlineStr">
        <is>
          <t>09/09/2026</t>
        </is>
      </c>
      <c r="I22" s="57" t="n">
        <v>46274</v>
      </c>
      <c r="J22" s="32" t="inlineStr">
        <is>
          <t>(sem origem)</t>
        </is>
      </c>
      <c r="K22" s="32" t="inlineStr">
        <is>
          <t>(sem produto)</t>
        </is>
      </c>
      <c r="L22" s="32" t="inlineStr">
        <is>
          <t>Reunião Feita</t>
        </is>
      </c>
      <c r="M22" s="32" t="inlineStr">
        <is>
          <t>Reunião feita</t>
        </is>
      </c>
      <c r="N22" s="32" t="inlineStr">
        <is>
          <t>(sem marcação)</t>
        </is>
      </c>
      <c r="O22" s="32" t="inlineStr">
        <is>
          <t>Objeção: preço/orçamento, Só tirou dúvidas</t>
        </is>
      </c>
      <c r="P22" s="34" t="b">
        <v>1</v>
      </c>
      <c r="Q22" s="32" t="inlineStr">
        <is>
          <t>Semana 2</t>
        </is>
      </c>
      <c r="R22" s="32" t="inlineStr">
        <is>
          <t>3-Quarta</t>
        </is>
      </c>
    </row>
    <row r="23">
      <c r="A23" s="56" t="n">
        <v>46274</v>
      </c>
      <c r="B23" s="56" t="n"/>
      <c r="C23" s="6" t="inlineStr">
        <is>
          <t>Lorena</t>
        </is>
      </c>
      <c r="D23" s="6" t="inlineStr">
        <is>
          <t>(sem responsável)</t>
        </is>
      </c>
      <c r="E23" s="6" t="inlineStr">
        <is>
          <t>Não tinha orçamento e tirou dúvidas, quando o negócio alavancar, volta</t>
        </is>
      </c>
      <c r="F23" s="6" t="inlineStr">
        <is>
          <t>Controle_Comercial_Conforme_-_Setembro.csv</t>
        </is>
      </c>
      <c r="G23" s="6" t="inlineStr">
        <is>
          <t>Semana 2</t>
        </is>
      </c>
      <c r="H23" s="6" t="inlineStr">
        <is>
          <t>09/09/2026</t>
        </is>
      </c>
      <c r="I23" s="56" t="n">
        <v>46274</v>
      </c>
      <c r="J23" s="6" t="inlineStr">
        <is>
          <t>(sem origem)</t>
        </is>
      </c>
      <c r="K23" s="6" t="inlineStr">
        <is>
          <t>(sem produto)</t>
        </is>
      </c>
      <c r="L23" s="6" t="inlineStr">
        <is>
          <t>Reunião Feita</t>
        </is>
      </c>
      <c r="M23" s="6" t="inlineStr">
        <is>
          <t>Reunião feita</t>
        </is>
      </c>
      <c r="N23" s="6" t="inlineStr">
        <is>
          <t>(sem marcação)</t>
        </is>
      </c>
      <c r="O23" s="6" t="inlineStr">
        <is>
          <t>Objeção: preço/orçamento, Só tirou dúvidas</t>
        </is>
      </c>
      <c r="P23" s="27" t="b">
        <v>1</v>
      </c>
      <c r="Q23" s="6" t="inlineStr">
        <is>
          <t>Semana 2</t>
        </is>
      </c>
      <c r="R23" s="6" t="inlineStr">
        <is>
          <t>3-Quarta</t>
        </is>
      </c>
    </row>
    <row r="24">
      <c r="A24" s="57" t="n">
        <v>46275</v>
      </c>
      <c r="B24" s="57" t="n"/>
      <c r="C24" s="32" t="inlineStr">
        <is>
          <t>Naiany</t>
        </is>
      </c>
      <c r="D24" s="32" t="inlineStr">
        <is>
          <t>(sem responsável)</t>
        </is>
      </c>
      <c r="E24" s="32" t="inlineStr">
        <is>
          <t>Vai fechar dia 15 quando termina o fluxo de pagamento dos clientes</t>
        </is>
      </c>
      <c r="F24" s="32" t="inlineStr">
        <is>
          <t>Controle_Comercial_Conforme_-_Setembro.csv</t>
        </is>
      </c>
      <c r="G24" s="32" t="inlineStr">
        <is>
          <t>Semana 2</t>
        </is>
      </c>
      <c r="H24" s="32" t="inlineStr">
        <is>
          <t>10/09/2026</t>
        </is>
      </c>
      <c r="I24" s="57" t="n">
        <v>46275</v>
      </c>
      <c r="J24" s="32" t="inlineStr">
        <is>
          <t>(sem origem)</t>
        </is>
      </c>
      <c r="K24" s="32" t="inlineStr">
        <is>
          <t>(sem produto)</t>
        </is>
      </c>
      <c r="L24" s="32" t="inlineStr">
        <is>
          <t>Reunião Feita</t>
        </is>
      </c>
      <c r="M24" s="32" t="inlineStr">
        <is>
          <t>Reunião feita</t>
        </is>
      </c>
      <c r="N24" s="32" t="inlineStr">
        <is>
          <t>(sem marcação)</t>
        </is>
      </c>
      <c r="O24" s="32" t="inlineStr">
        <is>
          <t>Objeção: preço/orçamento, Promessa de fechamento</t>
        </is>
      </c>
      <c r="P24" s="34" t="b">
        <v>1</v>
      </c>
      <c r="Q24" s="32" t="inlineStr">
        <is>
          <t>Semana 2</t>
        </is>
      </c>
      <c r="R24" s="32" t="inlineStr">
        <is>
          <t>4-Quinta</t>
        </is>
      </c>
    </row>
    <row r="25">
      <c r="A25" s="56" t="n">
        <v>46276</v>
      </c>
      <c r="B25" s="56" t="n"/>
      <c r="C25" s="6" t="inlineStr">
        <is>
          <t>José Roberto</t>
        </is>
      </c>
      <c r="D25" s="6" t="inlineStr">
        <is>
          <t>(sem responsável)</t>
        </is>
      </c>
      <c r="E25" s="6" t="n"/>
      <c r="F25" s="6" t="inlineStr">
        <is>
          <t>Controle_Comercial_Conforme_-_Setembro.csv</t>
        </is>
      </c>
      <c r="G25" s="6" t="inlineStr">
        <is>
          <t>Semana 2</t>
        </is>
      </c>
      <c r="H25" s="6" t="inlineStr">
        <is>
          <t>11/09/2026</t>
        </is>
      </c>
      <c r="I25" s="56" t="n">
        <v>46276</v>
      </c>
      <c r="J25" s="6" t="inlineStr">
        <is>
          <t>(sem origem)</t>
        </is>
      </c>
      <c r="K25" s="6" t="inlineStr">
        <is>
          <t>(sem produto)</t>
        </is>
      </c>
      <c r="L25" s="6" t="inlineStr">
        <is>
          <t>Fechado</t>
        </is>
      </c>
      <c r="M25" s="6" t="inlineStr">
        <is>
          <t>Fechado</t>
        </is>
      </c>
      <c r="N25" s="6" t="inlineStr">
        <is>
          <t>(sem marcação)</t>
        </is>
      </c>
      <c r="O25" s="6" t="n"/>
      <c r="P25" s="27" t="b">
        <v>1</v>
      </c>
      <c r="Q25" s="6" t="inlineStr">
        <is>
          <t>Semana 2</t>
        </is>
      </c>
      <c r="R25" s="6" t="inlineStr">
        <is>
          <t>5-Sexta</t>
        </is>
      </c>
    </row>
    <row r="26">
      <c r="A26" s="57" t="n"/>
      <c r="B26" s="57" t="n"/>
      <c r="C26" s="32" t="inlineStr">
        <is>
          <t>Alessandro</t>
        </is>
      </c>
      <c r="D26" s="32" t="inlineStr">
        <is>
          <t>(sem responsável)</t>
        </is>
      </c>
      <c r="E26" s="32" t="inlineStr">
        <is>
          <t>Voltar a falar com ele as 16</t>
        </is>
      </c>
      <c r="F26" s="32" t="inlineStr">
        <is>
          <t>Controle_Comercial_Conforme_-_Setembro.csv</t>
        </is>
      </c>
      <c r="G26" s="32" t="inlineStr">
        <is>
          <t>Semana 2</t>
        </is>
      </c>
      <c r="H26" s="32" t="n"/>
      <c r="I26" s="57" t="n"/>
      <c r="J26" s="32" t="inlineStr">
        <is>
          <t>(sem origem)</t>
        </is>
      </c>
      <c r="K26" s="32" t="inlineStr">
        <is>
          <t>(sem produto)</t>
        </is>
      </c>
      <c r="L26" s="32" t="inlineStr">
        <is>
          <t>Reunião Feita</t>
        </is>
      </c>
      <c r="M26" s="32" t="inlineStr">
        <is>
          <t>Reunião feita</t>
        </is>
      </c>
      <c r="N26" s="32" t="inlineStr">
        <is>
          <t>(sem marcação)</t>
        </is>
      </c>
      <c r="O26" s="32" t="inlineStr">
        <is>
          <t>Pediu retorno / follow-up</t>
        </is>
      </c>
      <c r="P26" s="34" t="b">
        <v>1</v>
      </c>
      <c r="Q26" s="32" t="inlineStr">
        <is>
          <t>Semana 2</t>
        </is>
      </c>
      <c r="R26" s="32" t="inlineStr">
        <is>
          <t>(sem data)</t>
        </is>
      </c>
    </row>
    <row r="27">
      <c r="A27" s="56" t="n"/>
      <c r="B27" s="56" t="n"/>
      <c r="C27" s="6" t="inlineStr">
        <is>
          <t>Jean</t>
        </is>
      </c>
      <c r="D27" s="6" t="inlineStr">
        <is>
          <t>(sem responsável)</t>
        </is>
      </c>
      <c r="E27" s="6" t="inlineStr">
        <is>
          <t>Falar com ele Terça feira e irá fechar</t>
        </is>
      </c>
      <c r="F27" s="6" t="inlineStr">
        <is>
          <t>Controle_Comercial_Conforme_-_Setembro.csv</t>
        </is>
      </c>
      <c r="G27" s="6" t="inlineStr">
        <is>
          <t>Semana 2</t>
        </is>
      </c>
      <c r="H27" s="6" t="n"/>
      <c r="I27" s="56" t="n"/>
      <c r="J27" s="6" t="inlineStr">
        <is>
          <t>(sem origem)</t>
        </is>
      </c>
      <c r="K27" s="6" t="inlineStr">
        <is>
          <t>(sem produto)</t>
        </is>
      </c>
      <c r="L27" s="6" t="inlineStr">
        <is>
          <t>Fechado</t>
        </is>
      </c>
      <c r="M27" s="6" t="inlineStr">
        <is>
          <t>Fechado</t>
        </is>
      </c>
      <c r="N27" s="6" t="inlineStr">
        <is>
          <t>(sem marcação)</t>
        </is>
      </c>
      <c r="O27" s="6" t="inlineStr">
        <is>
          <t>Promessa de fechamento, Pediu retorno / follow-up</t>
        </is>
      </c>
      <c r="P27" s="27" t="b">
        <v>1</v>
      </c>
      <c r="Q27" s="6" t="inlineStr">
        <is>
          <t>Semana 2</t>
        </is>
      </c>
      <c r="R27" s="6" t="inlineStr">
        <is>
          <t>(sem data)</t>
        </is>
      </c>
    </row>
    <row r="28">
      <c r="A28" s="57" t="n"/>
      <c r="B28" s="57" t="n"/>
      <c r="C28" s="32" t="inlineStr">
        <is>
          <t>Vinicius</t>
        </is>
      </c>
      <c r="D28" s="32" t="inlineStr">
        <is>
          <t>(sem responsável)</t>
        </is>
      </c>
      <c r="E28" s="32" t="inlineStr">
        <is>
          <t>Fechou MEI</t>
        </is>
      </c>
      <c r="F28" s="32" t="inlineStr">
        <is>
          <t>Controle_Comercial_Conforme_-_Setembro.csv</t>
        </is>
      </c>
      <c r="G28" s="32" t="inlineStr">
        <is>
          <t>Semana 3</t>
        </is>
      </c>
      <c r="H28" s="32" t="n"/>
      <c r="I28" s="57" t="n"/>
      <c r="J28" s="32" t="inlineStr">
        <is>
          <t>(sem origem)</t>
        </is>
      </c>
      <c r="K28" s="32" t="inlineStr">
        <is>
          <t>(sem produto)</t>
        </is>
      </c>
      <c r="L28" s="32" t="inlineStr">
        <is>
          <t>Fechado</t>
        </is>
      </c>
      <c r="M28" s="32" t="inlineStr">
        <is>
          <t>Fechado</t>
        </is>
      </c>
      <c r="N28" s="32" t="inlineStr">
        <is>
          <t>Tayron</t>
        </is>
      </c>
      <c r="O28" s="32" t="n"/>
      <c r="P28" s="34" t="b">
        <v>1</v>
      </c>
      <c r="Q28" s="32" t="inlineStr">
        <is>
          <t>Semana 3</t>
        </is>
      </c>
      <c r="R28" s="32" t="inlineStr">
        <is>
          <t>(sem data)</t>
        </is>
      </c>
    </row>
    <row r="29">
      <c r="A29" s="56" t="n"/>
      <c r="B29" s="56" t="n"/>
      <c r="C29" s="6" t="inlineStr">
        <is>
          <t>Deivid</t>
        </is>
      </c>
      <c r="D29" s="6" t="inlineStr">
        <is>
          <t>(sem responsável)</t>
        </is>
      </c>
      <c r="E29" s="6" t="n"/>
      <c r="F29" s="6" t="inlineStr">
        <is>
          <t>Controle_Comercial_Conforme_-_Setembro.csv</t>
        </is>
      </c>
      <c r="G29" s="6" t="inlineStr">
        <is>
          <t>Semana 3</t>
        </is>
      </c>
      <c r="H29" s="6" t="n"/>
      <c r="I29" s="56" t="n"/>
      <c r="J29" s="6" t="inlineStr">
        <is>
          <t>(sem origem)</t>
        </is>
      </c>
      <c r="K29" s="6" t="inlineStr">
        <is>
          <t>(sem produto)</t>
        </is>
      </c>
      <c r="L29" s="6" t="inlineStr">
        <is>
          <t>Fechado</t>
        </is>
      </c>
      <c r="M29" s="6" t="inlineStr">
        <is>
          <t>Fechado</t>
        </is>
      </c>
      <c r="N29" s="6" t="inlineStr">
        <is>
          <t>Tayron</t>
        </is>
      </c>
      <c r="O29" s="6" t="n"/>
      <c r="P29" s="27" t="b">
        <v>1</v>
      </c>
      <c r="Q29" s="6" t="inlineStr">
        <is>
          <t>Semana 3</t>
        </is>
      </c>
      <c r="R29" s="6" t="inlineStr">
        <is>
          <t>(sem data)</t>
        </is>
      </c>
    </row>
    <row r="30">
      <c r="A30" s="57" t="n"/>
      <c r="B30" s="57" t="n"/>
      <c r="C30" s="32" t="inlineStr">
        <is>
          <t>Renata</t>
        </is>
      </c>
      <c r="D30" s="32" t="inlineStr">
        <is>
          <t>(sem responsável)</t>
        </is>
      </c>
      <c r="E30" s="32" t="inlineStr">
        <is>
          <t>Cotando valores para fechar MEI</t>
        </is>
      </c>
      <c r="F30" s="32" t="inlineStr">
        <is>
          <t>Controle_Comercial_Conforme_-_Setembro.csv</t>
        </is>
      </c>
      <c r="G30" s="32" t="inlineStr">
        <is>
          <t>Semana 3</t>
        </is>
      </c>
      <c r="H30" s="32" t="n"/>
      <c r="I30" s="57" t="n"/>
      <c r="J30" s="32" t="inlineStr">
        <is>
          <t>(sem origem)</t>
        </is>
      </c>
      <c r="K30" s="32" t="inlineStr">
        <is>
          <t>(sem produto)</t>
        </is>
      </c>
      <c r="L30" s="32" t="inlineStr">
        <is>
          <t>Reunião Feita</t>
        </is>
      </c>
      <c r="M30" s="32" t="inlineStr">
        <is>
          <t>Reunião feita</t>
        </is>
      </c>
      <c r="N30" s="32" t="inlineStr">
        <is>
          <t>Tayron</t>
        </is>
      </c>
      <c r="O30" s="32" t="inlineStr">
        <is>
          <t>Objeção: preço/orçamento</t>
        </is>
      </c>
      <c r="P30" s="34" t="b">
        <v>1</v>
      </c>
      <c r="Q30" s="32" t="inlineStr">
        <is>
          <t>Semana 3</t>
        </is>
      </c>
      <c r="R30" s="32" t="inlineStr">
        <is>
          <t>(sem data)</t>
        </is>
      </c>
    </row>
    <row r="31">
      <c r="A31" s="56" t="n">
        <v>46280</v>
      </c>
      <c r="B31" s="56" t="n">
        <v>46280</v>
      </c>
      <c r="C31" s="6" t="inlineStr">
        <is>
          <t>André</t>
        </is>
      </c>
      <c r="D31" s="6" t="inlineStr">
        <is>
          <t>(sem responsável)</t>
        </is>
      </c>
      <c r="E31" s="6" t="n"/>
      <c r="F31" s="6" t="inlineStr">
        <is>
          <t>Controle_Comercial_Conforme_-_Setembro.csv</t>
        </is>
      </c>
      <c r="G31" s="6" t="inlineStr">
        <is>
          <t>Semana 3</t>
        </is>
      </c>
      <c r="H31" s="6" t="inlineStr">
        <is>
          <t>15/09/2026</t>
        </is>
      </c>
      <c r="I31" s="56" t="n">
        <v>46280</v>
      </c>
      <c r="J31" s="6" t="inlineStr">
        <is>
          <t>(sem origem)</t>
        </is>
      </c>
      <c r="K31" s="6" t="inlineStr">
        <is>
          <t>(sem produto)</t>
        </is>
      </c>
      <c r="L31" s="6" t="inlineStr">
        <is>
          <t>Reunião Feita</t>
        </is>
      </c>
      <c r="M31" s="6" t="inlineStr">
        <is>
          <t>Reunião feita</t>
        </is>
      </c>
      <c r="N31" s="6" t="inlineStr">
        <is>
          <t>(sem marcação)</t>
        </is>
      </c>
      <c r="O31" s="6" t="n"/>
      <c r="P31" s="27" t="b">
        <v>1</v>
      </c>
      <c r="Q31" s="6" t="inlineStr">
        <is>
          <t>Semana 3</t>
        </is>
      </c>
      <c r="R31" s="6" t="inlineStr">
        <is>
          <t>2-Terça</t>
        </is>
      </c>
    </row>
    <row r="32">
      <c r="A32" s="57" t="n">
        <v>46281</v>
      </c>
      <c r="B32" s="57" t="n">
        <v>46280</v>
      </c>
      <c r="C32" s="32" t="inlineStr">
        <is>
          <t>Guga</t>
        </is>
      </c>
      <c r="D32" s="32" t="inlineStr">
        <is>
          <t>(sem responsável)</t>
        </is>
      </c>
      <c r="E32" s="32" t="inlineStr">
        <is>
          <t>Achou caro</t>
        </is>
      </c>
      <c r="F32" s="32" t="inlineStr">
        <is>
          <t>Controle_Comercial_Conforme_-_Setembro.csv</t>
        </is>
      </c>
      <c r="G32" s="32" t="inlineStr">
        <is>
          <t>Semana 3</t>
        </is>
      </c>
      <c r="H32" s="32" t="inlineStr">
        <is>
          <t>16/09</t>
        </is>
      </c>
      <c r="I32" s="57" t="n">
        <v>46281</v>
      </c>
      <c r="J32" s="32" t="inlineStr">
        <is>
          <t>(sem origem)</t>
        </is>
      </c>
      <c r="K32" s="32" t="inlineStr">
        <is>
          <t>(sem produto)</t>
        </is>
      </c>
      <c r="L32" s="32" t="inlineStr">
        <is>
          <t>Reunião Feita</t>
        </is>
      </c>
      <c r="M32" s="32" t="inlineStr">
        <is>
          <t>Reunião feita</t>
        </is>
      </c>
      <c r="N32" s="32" t="inlineStr">
        <is>
          <t>(sem marcação)</t>
        </is>
      </c>
      <c r="O32" s="32" t="inlineStr">
        <is>
          <t>Objeção: preço/orçamento</t>
        </is>
      </c>
      <c r="P32" s="34" t="b">
        <v>1</v>
      </c>
      <c r="Q32" s="32" t="inlineStr">
        <is>
          <t>Semana 3</t>
        </is>
      </c>
      <c r="R32" s="32" t="inlineStr">
        <is>
          <t>3-Quarta</t>
        </is>
      </c>
    </row>
    <row r="33">
      <c r="A33" s="56" t="n">
        <v>46281</v>
      </c>
      <c r="B33" s="56" t="n">
        <v>46280</v>
      </c>
      <c r="C33" s="6" t="inlineStr">
        <is>
          <t>Márcia</t>
        </is>
      </c>
      <c r="D33" s="6" t="inlineStr">
        <is>
          <t>(sem responsável)</t>
        </is>
      </c>
      <c r="E33" s="6" t="inlineStr">
        <is>
          <t>Desenquadrada na sua agência e analisa a contratação</t>
        </is>
      </c>
      <c r="F33" s="6" t="inlineStr">
        <is>
          <t>Controle_Comercial_Conforme_-_Setembro.csv</t>
        </is>
      </c>
      <c r="G33" s="6" t="inlineStr">
        <is>
          <t>Semana 3</t>
        </is>
      </c>
      <c r="H33" s="6" t="inlineStr">
        <is>
          <t>16/09</t>
        </is>
      </c>
      <c r="I33" s="56" t="n">
        <v>46281</v>
      </c>
      <c r="J33" s="6" t="inlineStr">
        <is>
          <t>(sem origem)</t>
        </is>
      </c>
      <c r="K33" s="6" t="inlineStr">
        <is>
          <t>(sem produto)</t>
        </is>
      </c>
      <c r="L33" s="6" t="inlineStr">
        <is>
          <t>Reunião Feita</t>
        </is>
      </c>
      <c r="M33" s="6" t="inlineStr">
        <is>
          <t>Reunião feita</t>
        </is>
      </c>
      <c r="N33" s="6" t="inlineStr">
        <is>
          <t>(sem marcação)</t>
        </is>
      </c>
      <c r="O33" s="6" t="inlineStr">
        <is>
          <t>Comparando concorrentes</t>
        </is>
      </c>
      <c r="P33" s="27" t="b">
        <v>1</v>
      </c>
      <c r="Q33" s="6" t="inlineStr">
        <is>
          <t>Semana 3</t>
        </is>
      </c>
      <c r="R33" s="6" t="inlineStr">
        <is>
          <t>3-Quarta</t>
        </is>
      </c>
    </row>
    <row r="34">
      <c r="A34" s="57" t="n">
        <v>46281</v>
      </c>
      <c r="B34" s="57" t="n">
        <v>46280</v>
      </c>
      <c r="C34" s="32" t="inlineStr">
        <is>
          <t>Carlos</t>
        </is>
      </c>
      <c r="D34" s="32" t="inlineStr">
        <is>
          <t>(sem responsável)</t>
        </is>
      </c>
      <c r="E34" s="32" t="inlineStr">
        <is>
          <t>Calado a call inteira quase e agora está analisando</t>
        </is>
      </c>
      <c r="F34" s="32" t="inlineStr">
        <is>
          <t>Controle_Comercial_Conforme_-_Setembro.csv</t>
        </is>
      </c>
      <c r="G34" s="32" t="inlineStr">
        <is>
          <t>Semana 3</t>
        </is>
      </c>
      <c r="H34" s="32" t="inlineStr">
        <is>
          <t>16/09</t>
        </is>
      </c>
      <c r="I34" s="57" t="n">
        <v>46281</v>
      </c>
      <c r="J34" s="32" t="inlineStr">
        <is>
          <t>(sem origem)</t>
        </is>
      </c>
      <c r="K34" s="32" t="inlineStr">
        <is>
          <t>(sem produto)</t>
        </is>
      </c>
      <c r="L34" s="32" t="inlineStr">
        <is>
          <t>Reunião Feita</t>
        </is>
      </c>
      <c r="M34" s="32" t="inlineStr">
        <is>
          <t>Reunião feita</t>
        </is>
      </c>
      <c r="N34" s="32" t="inlineStr">
        <is>
          <t>(sem marcação)</t>
        </is>
      </c>
      <c r="O34" s="32" t="n"/>
      <c r="P34" s="34" t="b">
        <v>1</v>
      </c>
      <c r="Q34" s="32" t="inlineStr">
        <is>
          <t>Semana 3</t>
        </is>
      </c>
      <c r="R34" s="32" t="inlineStr">
        <is>
          <t>3-Quarta</t>
        </is>
      </c>
    </row>
    <row r="35">
      <c r="A35" s="56" t="n">
        <v>46282</v>
      </c>
      <c r="B35" s="56" t="n">
        <v>46282</v>
      </c>
      <c r="C35" s="6" t="inlineStr">
        <is>
          <t>Miguel</t>
        </is>
      </c>
      <c r="D35" s="6" t="inlineStr">
        <is>
          <t>(sem responsável)</t>
        </is>
      </c>
      <c r="E35" s="6" t="inlineStr">
        <is>
          <t>Gostou muito da Conforme mas pechinchou muito</t>
        </is>
      </c>
      <c r="F35" s="6" t="inlineStr">
        <is>
          <t>Controle_Comercial_Conforme_-_Setembro.csv</t>
        </is>
      </c>
      <c r="G35" s="6" t="inlineStr">
        <is>
          <t>Semana 3</t>
        </is>
      </c>
      <c r="H35" s="6" t="inlineStr">
        <is>
          <t>17/09/</t>
        </is>
      </c>
      <c r="I35" s="56" t="n">
        <v>46282</v>
      </c>
      <c r="J35" s="6" t="inlineStr">
        <is>
          <t>(sem origem)</t>
        </is>
      </c>
      <c r="K35" s="6" t="inlineStr">
        <is>
          <t>(sem produto)</t>
        </is>
      </c>
      <c r="L35" s="6" t="inlineStr">
        <is>
          <t>Reunião Feita</t>
        </is>
      </c>
      <c r="M35" s="6" t="inlineStr">
        <is>
          <t>Reunião feita</t>
        </is>
      </c>
      <c r="N35" s="6" t="inlineStr">
        <is>
          <t>(sem marcação)</t>
        </is>
      </c>
      <c r="O35" s="6" t="inlineStr">
        <is>
          <t>Objeção: preço/orçamento</t>
        </is>
      </c>
      <c r="P35" s="27" t="b">
        <v>1</v>
      </c>
      <c r="Q35" s="6" t="inlineStr">
        <is>
          <t>Semana 3</t>
        </is>
      </c>
      <c r="R35" s="6" t="inlineStr">
        <is>
          <t>4-Quinta</t>
        </is>
      </c>
    </row>
    <row r="36">
      <c r="A36" s="57" t="n">
        <v>46282</v>
      </c>
      <c r="B36" s="57" t="n">
        <v>46279</v>
      </c>
      <c r="C36" s="32" t="inlineStr">
        <is>
          <t>Caíke</t>
        </is>
      </c>
      <c r="D36" s="32" t="inlineStr">
        <is>
          <t>(sem responsável)</t>
        </is>
      </c>
      <c r="E36" s="32" t="inlineStr">
        <is>
          <t>Disse que fecharia amanhã quando recebesse um dinheiro</t>
        </is>
      </c>
      <c r="F36" s="32" t="inlineStr">
        <is>
          <t>Controle_Comercial_Conforme_-_Setembro.csv</t>
        </is>
      </c>
      <c r="G36" s="32" t="inlineStr">
        <is>
          <t>Semana 3</t>
        </is>
      </c>
      <c r="H36" s="32" t="inlineStr">
        <is>
          <t>17/09</t>
        </is>
      </c>
      <c r="I36" s="57" t="n">
        <v>46282</v>
      </c>
      <c r="J36" s="32" t="inlineStr">
        <is>
          <t>(sem origem)</t>
        </is>
      </c>
      <c r="K36" s="32" t="inlineStr">
        <is>
          <t>(sem produto)</t>
        </is>
      </c>
      <c r="L36" s="32" t="inlineStr">
        <is>
          <t>Follow Up</t>
        </is>
      </c>
      <c r="M36" s="32" t="inlineStr">
        <is>
          <t>Em negociação</t>
        </is>
      </c>
      <c r="N36" s="32" t="inlineStr">
        <is>
          <t>(sem marcação)</t>
        </is>
      </c>
      <c r="O36" s="32" t="inlineStr">
        <is>
          <t>Objeção: preço/orçamento, Promessa de fechamento</t>
        </is>
      </c>
      <c r="P36" s="34" t="b">
        <v>1</v>
      </c>
      <c r="Q36" s="32" t="inlineStr">
        <is>
          <t>Semana 3</t>
        </is>
      </c>
      <c r="R36" s="32" t="inlineStr">
        <is>
          <t>4-Quinta</t>
        </is>
      </c>
    </row>
    <row r="37">
      <c r="A37" s="56" t="n">
        <v>46283</v>
      </c>
      <c r="B37" s="56" t="n">
        <v>46282</v>
      </c>
      <c r="C37" s="6" t="inlineStr">
        <is>
          <t>Erick</t>
        </is>
      </c>
      <c r="D37" s="6" t="inlineStr">
        <is>
          <t>(sem responsável)</t>
        </is>
      </c>
      <c r="E37" s="6" t="inlineStr">
        <is>
          <t>Gostou muito pediu o contrato para analisar</t>
        </is>
      </c>
      <c r="F37" s="6" t="inlineStr">
        <is>
          <t>Controle_Comercial_Conforme_-_Setembro.csv</t>
        </is>
      </c>
      <c r="G37" s="6" t="inlineStr">
        <is>
          <t>Semana 3</t>
        </is>
      </c>
      <c r="H37" s="6" t="inlineStr">
        <is>
          <t>18/09/2026</t>
        </is>
      </c>
      <c r="I37" s="56" t="n">
        <v>46283</v>
      </c>
      <c r="J37" s="6" t="inlineStr">
        <is>
          <t>(sem origem)</t>
        </is>
      </c>
      <c r="K37" s="6" t="inlineStr">
        <is>
          <t>(sem produto)</t>
        </is>
      </c>
      <c r="L37" s="6" t="inlineStr">
        <is>
          <t>Follow Up</t>
        </is>
      </c>
      <c r="M37" s="6" t="inlineStr">
        <is>
          <t>Em negociação</t>
        </is>
      </c>
      <c r="N37" s="6" t="inlineStr">
        <is>
          <t>(sem marcação)</t>
        </is>
      </c>
      <c r="O37" s="6" t="inlineStr">
        <is>
          <t>Pediu contrato/proposta</t>
        </is>
      </c>
      <c r="P37" s="27" t="b">
        <v>1</v>
      </c>
      <c r="Q37" s="6" t="inlineStr">
        <is>
          <t>Semana 3</t>
        </is>
      </c>
      <c r="R37" s="6" t="inlineStr">
        <is>
          <t>5-Sexta</t>
        </is>
      </c>
    </row>
    <row r="38">
      <c r="A38" s="57" t="n">
        <v>46283</v>
      </c>
      <c r="B38" s="57" t="n">
        <v>46282</v>
      </c>
      <c r="C38" s="32" t="inlineStr">
        <is>
          <t>Guilherme</t>
        </is>
      </c>
      <c r="D38" s="32" t="inlineStr">
        <is>
          <t>(sem responsável)</t>
        </is>
      </c>
      <c r="E38" s="32" t="inlineStr">
        <is>
          <t>Follow up outubro - disse que fechava</t>
        </is>
      </c>
      <c r="F38" s="32" t="inlineStr">
        <is>
          <t>Controle_Comercial_Conforme_-_Setembro.csv</t>
        </is>
      </c>
      <c r="G38" s="32" t="inlineStr">
        <is>
          <t>Semana 3</t>
        </is>
      </c>
      <c r="H38" s="32" t="inlineStr">
        <is>
          <t>18/09/2026</t>
        </is>
      </c>
      <c r="I38" s="57" t="n">
        <v>46283</v>
      </c>
      <c r="J38" s="32" t="inlineStr">
        <is>
          <t>(sem origem)</t>
        </is>
      </c>
      <c r="K38" s="32" t="inlineStr">
        <is>
          <t>(sem produto)</t>
        </is>
      </c>
      <c r="L38" s="32" t="inlineStr">
        <is>
          <t>Follow Up</t>
        </is>
      </c>
      <c r="M38" s="32" t="inlineStr">
        <is>
          <t>Em negociação</t>
        </is>
      </c>
      <c r="N38" s="32" t="inlineStr">
        <is>
          <t>(sem marcação)</t>
        </is>
      </c>
      <c r="O38" s="32" t="inlineStr">
        <is>
          <t>Promessa de fechamento, Pediu retorno / follow-up</t>
        </is>
      </c>
      <c r="P38" s="34" t="b">
        <v>1</v>
      </c>
      <c r="Q38" s="32" t="inlineStr">
        <is>
          <t>Semana 3</t>
        </is>
      </c>
      <c r="R38" s="32" t="inlineStr">
        <is>
          <t>5-Sexta</t>
        </is>
      </c>
    </row>
    <row r="39">
      <c r="A39" s="56" t="n">
        <v>46283</v>
      </c>
      <c r="B39" s="56" t="n">
        <v>46283</v>
      </c>
      <c r="C39" s="6" t="inlineStr">
        <is>
          <t>Eduardo</t>
        </is>
      </c>
      <c r="D39" s="6" t="inlineStr">
        <is>
          <t>(sem responsável)</t>
        </is>
      </c>
      <c r="E39" s="6" t="n"/>
      <c r="F39" s="6" t="inlineStr">
        <is>
          <t>Controle_Comercial_Conforme_-_Setembro.csv</t>
        </is>
      </c>
      <c r="G39" s="6" t="inlineStr">
        <is>
          <t>Semana 3</t>
        </is>
      </c>
      <c r="H39" s="6" t="inlineStr">
        <is>
          <t>18/09/2026</t>
        </is>
      </c>
      <c r="I39" s="56" t="n">
        <v>46283</v>
      </c>
      <c r="J39" s="6" t="inlineStr">
        <is>
          <t>(sem origem)</t>
        </is>
      </c>
      <c r="K39" s="6" t="inlineStr">
        <is>
          <t>(sem produto)</t>
        </is>
      </c>
      <c r="L39" s="6" t="inlineStr">
        <is>
          <t>Fechado</t>
        </is>
      </c>
      <c r="M39" s="6" t="inlineStr">
        <is>
          <t>Fechado</t>
        </is>
      </c>
      <c r="N39" s="6" t="inlineStr">
        <is>
          <t>(sem marcação)</t>
        </is>
      </c>
      <c r="O39" s="6" t="n"/>
      <c r="P39" s="27" t="b">
        <v>1</v>
      </c>
      <c r="Q39" s="6" t="inlineStr">
        <is>
          <t>Semana 3</t>
        </is>
      </c>
      <c r="R39" s="6" t="inlineStr">
        <is>
          <t>5-Sexta</t>
        </is>
      </c>
    </row>
    <row r="40">
      <c r="A40" s="57" t="n">
        <v>46286</v>
      </c>
      <c r="B40" s="57" t="n">
        <v>46286</v>
      </c>
      <c r="C40" s="32" t="inlineStr">
        <is>
          <t>Vitor</t>
        </is>
      </c>
      <c r="D40" s="32" t="inlineStr">
        <is>
          <t>(sem responsável)</t>
        </is>
      </c>
      <c r="E40" s="32" t="inlineStr">
        <is>
          <t>Irá fechar quando receber, falar toda semana</t>
        </is>
      </c>
      <c r="F40" s="32" t="inlineStr">
        <is>
          <t>Controle_Comercial_Conforme_-_Setembro.csv</t>
        </is>
      </c>
      <c r="G40" s="32" t="inlineStr">
        <is>
          <t>Semana 4</t>
        </is>
      </c>
      <c r="H40" s="32" t="inlineStr">
        <is>
          <t>21/09</t>
        </is>
      </c>
      <c r="I40" s="57" t="n">
        <v>46286</v>
      </c>
      <c r="J40" s="32" t="inlineStr">
        <is>
          <t>(sem origem)</t>
        </is>
      </c>
      <c r="K40" s="32" t="inlineStr">
        <is>
          <t>(sem produto)</t>
        </is>
      </c>
      <c r="L40" s="32" t="inlineStr">
        <is>
          <t>Reunião Feita</t>
        </is>
      </c>
      <c r="M40" s="32" t="inlineStr">
        <is>
          <t>Reunião feita</t>
        </is>
      </c>
      <c r="N40" s="32" t="inlineStr">
        <is>
          <t>(sem marcação)</t>
        </is>
      </c>
      <c r="O40" s="32" t="inlineStr">
        <is>
          <t>Objeção: preço/orçamento, Promessa de fechamento, Pediu retorno / follow-up</t>
        </is>
      </c>
      <c r="P40" s="34" t="b">
        <v>1</v>
      </c>
      <c r="Q40" s="32" t="inlineStr">
        <is>
          <t>Semana 4</t>
        </is>
      </c>
      <c r="R40" s="32" t="inlineStr">
        <is>
          <t>1-Segunda</t>
        </is>
      </c>
    </row>
  </sheetData>
  <autoFilter ref="A4:R4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20.05" customWidth="1" min="1" max="1"/>
    <col width="20.05" customWidth="1" min="2" max="2"/>
    <col width="30.5" customWidth="1" min="3" max="3"/>
    <col width="18.15" customWidth="1" min="4" max="4"/>
    <col width="11.5" customWidth="1" min="5" max="5"/>
    <col width="10" customWidth="1" min="6" max="6"/>
    <col width="10" customWidth="1" min="7" max="7"/>
    <col width="11.5" customWidth="1" min="8" max="8"/>
    <col width="38.1" customWidth="1" min="9" max="9"/>
    <col width="40" customWidth="1" min="10" max="10"/>
    <col width="16.25" customWidth="1" min="11" max="11"/>
    <col width="17.2" customWidth="1" min="12" max="12"/>
    <col width="17.2" customWidth="1" min="13" max="13"/>
  </cols>
  <sheetData>
    <row r="1">
      <c r="A1" s="1" t="inlineStr">
        <is>
          <t>Base da Meta do período, já padronizada</t>
        </is>
      </c>
    </row>
    <row r="2">
      <c r="A2" s="2" t="inlineStr">
        <is>
          <t>Período: setembro/2026  •  Gerado em 24/09/2026 15:31</t>
        </is>
      </c>
    </row>
    <row r="3"/>
    <row r="4" ht="32" customHeight="1">
      <c r="A4" s="21" t="inlineStr">
        <is>
          <t>data_inicio</t>
        </is>
      </c>
      <c r="B4" s="21" t="inlineStr">
        <is>
          <t>data_fim</t>
        </is>
      </c>
      <c r="C4" s="21" t="inlineStr">
        <is>
          <t>campanha</t>
        </is>
      </c>
      <c r="D4" s="21" t="inlineStr">
        <is>
          <t>investimento (R$)</t>
        </is>
      </c>
      <c r="E4" s="21" t="inlineStr">
        <is>
          <t>impressoes</t>
        </is>
      </c>
      <c r="F4" s="21" t="inlineStr">
        <is>
          <t>alcance</t>
        </is>
      </c>
      <c r="G4" s="21" t="inlineStr">
        <is>
          <t>cliques</t>
        </is>
      </c>
      <c r="H4" s="21" t="inlineStr">
        <is>
          <t>resultados</t>
        </is>
      </c>
      <c r="I4" s="21" t="inlineStr">
        <is>
          <t>tipo_resultado</t>
        </is>
      </c>
      <c r="J4" s="21" t="inlineStr">
        <is>
          <t>arquivo_origem</t>
        </is>
      </c>
      <c r="K4" s="21" t="inlineStr">
        <is>
          <t>semana_planilha</t>
        </is>
      </c>
      <c r="L4" s="21" t="inlineStr">
        <is>
          <t>conjunto</t>
        </is>
      </c>
      <c r="M4" s="21" t="inlineStr">
        <is>
          <t>anuncio</t>
        </is>
      </c>
    </row>
    <row r="5">
      <c r="A5" s="56" t="n">
        <v>46266</v>
      </c>
      <c r="B5" s="56" t="n">
        <v>46289</v>
      </c>
      <c r="C5" s="6" t="inlineStr">
        <is>
          <t>[GT] [WPP] [VENDAS] [28.10.25]</t>
        </is>
      </c>
      <c r="D5" s="30" t="n">
        <v>2252.05</v>
      </c>
      <c r="E5" s="27" t="n">
        <v>91388</v>
      </c>
      <c r="F5" s="27" t="n">
        <v>49846</v>
      </c>
      <c r="G5" s="27" t="n">
        <v>312</v>
      </c>
      <c r="H5" s="27" t="n">
        <v>52</v>
      </c>
      <c r="I5" s="6" t="inlineStr">
        <is>
          <t>Conversas no WhatsApp/Direct iniciadas</t>
        </is>
      </c>
      <c r="J5" s="6" t="inlineStr">
        <is>
          <t>_CA_-Conta-ilidade-Conforme-Campanhas-1-de-set-de-2026-24-de-set-de-2026.csv</t>
        </is>
      </c>
      <c r="K5" s="6" t="n"/>
      <c r="L5" s="6" t="inlineStr">
        <is>
          <t>(sem informação)</t>
        </is>
      </c>
      <c r="M5" s="6" t="inlineStr">
        <is>
          <t>(sem informação)</t>
        </is>
      </c>
    </row>
    <row r="6">
      <c r="A6" s="57" t="n">
        <v>46266</v>
      </c>
      <c r="B6" s="57" t="n">
        <v>46289</v>
      </c>
      <c r="C6" s="32" t="inlineStr">
        <is>
          <t>[GT] [WPP] [VENDAS] [18.08.26]</t>
        </is>
      </c>
      <c r="D6" s="33" t="n">
        <v>1398.97</v>
      </c>
      <c r="E6" s="34" t="n">
        <v>53068</v>
      </c>
      <c r="F6" s="34" t="n">
        <v>34128</v>
      </c>
      <c r="G6" s="34" t="n">
        <v>204</v>
      </c>
      <c r="H6" s="34" t="n">
        <v>29</v>
      </c>
      <c r="I6" s="32" t="inlineStr">
        <is>
          <t>Conversas no WhatsApp/Direct iniciadas</t>
        </is>
      </c>
      <c r="J6" s="32" t="inlineStr">
        <is>
          <t>_CA_-Conta-ilidade-Conforme-Campanhas-1-de-set-de-2026-24-de-set-de-2026.csv</t>
        </is>
      </c>
      <c r="K6" s="32" t="n"/>
      <c r="L6" s="32" t="inlineStr">
        <is>
          <t>(sem informação)</t>
        </is>
      </c>
      <c r="M6" s="32" t="inlineStr">
        <is>
          <t>(sem informação)</t>
        </is>
      </c>
    </row>
  </sheetData>
  <autoFilter ref="A4:M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selection activeCell="A1" sqref="A1"/>
    </sheetView>
  </sheetViews>
  <sheetFormatPr baseColWidth="8" defaultRowHeight="15"/>
  <cols>
    <col width="52.34999999999999" customWidth="1" min="1" max="1"/>
    <col width="17.2" customWidth="1" min="2" max="2"/>
    <col width="48.55" customWidth="1" min="3" max="3"/>
    <col width="26.7" customWidth="1" min="4" max="4"/>
    <col width="19.1" customWidth="1" min="5" max="5"/>
    <col width="55" customWidth="1" min="6" max="6"/>
    <col width="55" customWidth="1" min="7" max="7"/>
  </cols>
  <sheetData>
    <row r="1">
      <c r="A1" s="1" t="inlineStr">
        <is>
          <t>Qualidade dos dados — o que pode estar distorcendo os números</t>
        </is>
      </c>
    </row>
    <row r="2">
      <c r="A2" s="2" t="inlineStr">
        <is>
          <t>Período: setembro/2026  •  Gerado em 24/09/2026 15:31</t>
        </is>
      </c>
    </row>
    <row r="3"/>
    <row r="4">
      <c r="A4" s="42" t="inlineStr">
        <is>
          <t>Resumo</t>
        </is>
      </c>
    </row>
    <row r="5" ht="32" customHeight="1">
      <c r="A5" s="21" t="inlineStr">
        <is>
          <t>Problema</t>
        </is>
      </c>
      <c r="B5" s="21" t="inlineStr">
        <is>
          <t>Ocorrências</t>
        </is>
      </c>
    </row>
    <row r="6">
      <c r="A6" s="6" t="inlineStr">
        <is>
          <t>Reunião sem data</t>
        </is>
      </c>
      <c r="B6" s="27" t="n">
        <v>11</v>
      </c>
    </row>
    <row r="7">
      <c r="A7" s="32" t="inlineStr">
        <is>
          <t>Fechado, mas a observação sugere que ainda não fechou</t>
        </is>
      </c>
      <c r="B7" s="34" t="n">
        <v>3</v>
      </c>
    </row>
    <row r="8">
      <c r="A8" s="6" t="inlineStr">
        <is>
          <t>Data fora do mês</t>
        </is>
      </c>
      <c r="B8" s="27" t="n">
        <v>1</v>
      </c>
    </row>
    <row r="9"/>
    <row r="10">
      <c r="A10" s="42" t="inlineStr">
        <is>
          <t>Detalhe linha a linha</t>
        </is>
      </c>
    </row>
    <row r="11" ht="32" customHeight="1">
      <c r="A11" s="21" t="inlineStr">
        <is>
          <t>Problema</t>
        </is>
      </c>
      <c r="B11" s="21" t="inlineStr">
        <is>
          <t>Cliente</t>
        </is>
      </c>
      <c r="C11" s="21" t="inlineStr">
        <is>
          <t>Semana</t>
        </is>
      </c>
      <c r="D11" s="21" t="inlineStr">
        <is>
          <t>Data como está na planilha</t>
        </is>
      </c>
      <c r="E11" s="21" t="inlineStr">
        <is>
          <t>Status na planilha</t>
        </is>
      </c>
      <c r="F11" s="21" t="inlineStr">
        <is>
          <t>Observação</t>
        </is>
      </c>
      <c r="G11" s="21" t="inlineStr">
        <is>
          <t>Detalhe</t>
        </is>
      </c>
    </row>
    <row r="12">
      <c r="A12" s="6" t="inlineStr">
        <is>
          <t>Reunião sem data</t>
        </is>
      </c>
      <c r="B12" s="6" t="inlineStr">
        <is>
          <t>Paula</t>
        </is>
      </c>
      <c r="C12" s="6" t="inlineStr">
        <is>
          <t>Semana 1</t>
        </is>
      </c>
      <c r="D12" s="6" t="n"/>
      <c r="E12" s="6" t="inlineStr">
        <is>
          <t>Reunião Feita</t>
        </is>
      </c>
      <c r="F12" s="6" t="inlineStr">
        <is>
          <t>Marido trocou de contabilidade a um dia e não tem interesse</t>
        </is>
      </c>
      <c r="G12" s="6" t="inlineStr">
        <is>
          <t>Entra nas contagens, mas não em 'dia da semana' nem em tempo de agendamento</t>
        </is>
      </c>
    </row>
    <row r="13">
      <c r="A13" s="32" t="inlineStr">
        <is>
          <t>Reunião sem data</t>
        </is>
      </c>
      <c r="B13" s="32" t="inlineStr">
        <is>
          <t>Bruna</t>
        </is>
      </c>
      <c r="C13" s="32" t="inlineStr">
        <is>
          <t>Semana 1</t>
        </is>
      </c>
      <c r="D13" s="32" t="n"/>
      <c r="E13" s="32" t="inlineStr">
        <is>
          <t>Agendado</t>
        </is>
      </c>
      <c r="F13" s="32" t="inlineStr">
        <is>
          <t>Falar no final do mês quer fechar</t>
        </is>
      </c>
      <c r="G13" s="32" t="inlineStr">
        <is>
          <t>Entra nas contagens, mas não em 'dia da semana' nem em tempo de agendamento</t>
        </is>
      </c>
    </row>
    <row r="14">
      <c r="A14" s="6" t="inlineStr">
        <is>
          <t>Reunião sem data</t>
        </is>
      </c>
      <c r="B14" s="6" t="inlineStr">
        <is>
          <t>Alexandre</t>
        </is>
      </c>
      <c r="C14" s="6" t="inlineStr">
        <is>
          <t>Semana 1</t>
        </is>
      </c>
      <c r="D14" s="6" t="n"/>
      <c r="E14" s="6" t="inlineStr">
        <is>
          <t>Reunião Feita</t>
        </is>
      </c>
      <c r="F14" s="6" t="inlineStr">
        <is>
          <t>Pediu para retornar em 2 semanas que está analisando outras opções</t>
        </is>
      </c>
      <c r="G14" s="6" t="inlineStr">
        <is>
          <t>Entra nas contagens, mas não em 'dia da semana' nem em tempo de agendamento</t>
        </is>
      </c>
    </row>
    <row r="15">
      <c r="A15" s="32" t="inlineStr">
        <is>
          <t>Reunião sem data</t>
        </is>
      </c>
      <c r="B15" s="32" t="inlineStr">
        <is>
          <t>Fernando e Lucas</t>
        </is>
      </c>
      <c r="C15" s="32" t="inlineStr">
        <is>
          <t>Semana 1</t>
        </is>
      </c>
      <c r="D15" s="32" t="n"/>
      <c r="E15" s="32" t="inlineStr">
        <is>
          <t>Reunião Feita</t>
        </is>
      </c>
      <c r="F15" s="32" t="inlineStr">
        <is>
          <t>Retornar em 2 semanas que são 3 ME´s</t>
        </is>
      </c>
      <c r="G15" s="32" t="inlineStr">
        <is>
          <t>Entra nas contagens, mas não em 'dia da semana' nem em tempo de agendamento</t>
        </is>
      </c>
    </row>
    <row r="16">
      <c r="A16" s="6" t="inlineStr">
        <is>
          <t>Reunião sem data</t>
        </is>
      </c>
      <c r="B16" s="6" t="inlineStr">
        <is>
          <t>Victor Alves</t>
        </is>
      </c>
      <c r="C16" s="6" t="inlineStr">
        <is>
          <t>Semana 1</t>
        </is>
      </c>
      <c r="D16" s="6" t="n"/>
      <c r="E16" s="6" t="inlineStr">
        <is>
          <t>Reunião Feita</t>
        </is>
      </c>
      <c r="F16" s="6" t="inlineStr">
        <is>
          <t>Retornar em 1 semana que verá com a Esposa</t>
        </is>
      </c>
      <c r="G16" s="6" t="inlineStr">
        <is>
          <t>Entra nas contagens, mas não em 'dia da semana' nem em tempo de agendamento</t>
        </is>
      </c>
    </row>
    <row r="17">
      <c r="A17" s="32" t="inlineStr">
        <is>
          <t>Reunião sem data</t>
        </is>
      </c>
      <c r="B17" s="32" t="inlineStr">
        <is>
          <t>Daniel</t>
        </is>
      </c>
      <c r="C17" s="32" t="inlineStr">
        <is>
          <t>Semana 1</t>
        </is>
      </c>
      <c r="D17" s="32" t="n"/>
      <c r="E17" s="32" t="inlineStr">
        <is>
          <t>Fechado</t>
        </is>
      </c>
      <c r="F17" s="32" t="inlineStr">
        <is>
          <t>Gostou muito e vai falar com a esposa e pediu para retornarmos Terça para dar andamento</t>
        </is>
      </c>
      <c r="G17" s="32" t="inlineStr">
        <is>
          <t>Entra nas contagens, mas não em 'dia da semana' nem em tempo de agendamento</t>
        </is>
      </c>
    </row>
    <row r="18">
      <c r="A18" s="6" t="inlineStr">
        <is>
          <t>Reunião sem data</t>
        </is>
      </c>
      <c r="B18" s="6" t="inlineStr">
        <is>
          <t>Alessandro</t>
        </is>
      </c>
      <c r="C18" s="6" t="inlineStr">
        <is>
          <t>Semana 2</t>
        </is>
      </c>
      <c r="D18" s="6" t="n"/>
      <c r="E18" s="6" t="inlineStr">
        <is>
          <t>Reunião Feita</t>
        </is>
      </c>
      <c r="F18" s="6" t="inlineStr">
        <is>
          <t>Voltar a falar com ele as 16</t>
        </is>
      </c>
      <c r="G18" s="6" t="inlineStr">
        <is>
          <t>Entra nas contagens, mas não em 'dia da semana' nem em tempo de agendamento</t>
        </is>
      </c>
    </row>
    <row r="19">
      <c r="A19" s="32" t="inlineStr">
        <is>
          <t>Reunião sem data</t>
        </is>
      </c>
      <c r="B19" s="32" t="inlineStr">
        <is>
          <t>Jean</t>
        </is>
      </c>
      <c r="C19" s="32" t="inlineStr">
        <is>
          <t>Semana 2</t>
        </is>
      </c>
      <c r="D19" s="32" t="n"/>
      <c r="E19" s="32" t="inlineStr">
        <is>
          <t>Fechado</t>
        </is>
      </c>
      <c r="F19" s="32" t="inlineStr">
        <is>
          <t>Falar com ele Terça feira e irá fechar</t>
        </is>
      </c>
      <c r="G19" s="32" t="inlineStr">
        <is>
          <t>Entra nas contagens, mas não em 'dia da semana' nem em tempo de agendamento</t>
        </is>
      </c>
    </row>
    <row r="20">
      <c r="A20" s="6" t="inlineStr">
        <is>
          <t>Reunião sem data</t>
        </is>
      </c>
      <c r="B20" s="6" t="inlineStr">
        <is>
          <t>Vinicius</t>
        </is>
      </c>
      <c r="C20" s="6" t="inlineStr">
        <is>
          <t>Semana 3</t>
        </is>
      </c>
      <c r="D20" s="6" t="n"/>
      <c r="E20" s="6" t="inlineStr">
        <is>
          <t>Fechado</t>
        </is>
      </c>
      <c r="F20" s="6" t="inlineStr">
        <is>
          <t>Fechou MEI</t>
        </is>
      </c>
      <c r="G20" s="6" t="inlineStr">
        <is>
          <t>Entra nas contagens, mas não em 'dia da semana' nem em tempo de agendamento</t>
        </is>
      </c>
    </row>
    <row r="21">
      <c r="A21" s="32" t="inlineStr">
        <is>
          <t>Reunião sem data</t>
        </is>
      </c>
      <c r="B21" s="32" t="inlineStr">
        <is>
          <t>Deivid</t>
        </is>
      </c>
      <c r="C21" s="32" t="inlineStr">
        <is>
          <t>Semana 3</t>
        </is>
      </c>
      <c r="D21" s="32" t="n"/>
      <c r="E21" s="32" t="inlineStr">
        <is>
          <t>Fechado</t>
        </is>
      </c>
      <c r="F21" s="32" t="n"/>
      <c r="G21" s="32" t="inlineStr">
        <is>
          <t>Entra nas contagens, mas não em 'dia da semana' nem em tempo de agendamento</t>
        </is>
      </c>
    </row>
    <row r="22">
      <c r="A22" s="6" t="inlineStr">
        <is>
          <t>Reunião sem data</t>
        </is>
      </c>
      <c r="B22" s="6" t="inlineStr">
        <is>
          <t>Renata</t>
        </is>
      </c>
      <c r="C22" s="6" t="inlineStr">
        <is>
          <t>Semana 3</t>
        </is>
      </c>
      <c r="D22" s="6" t="n"/>
      <c r="E22" s="6" t="inlineStr">
        <is>
          <t>Reunião Feita</t>
        </is>
      </c>
      <c r="F22" s="6" t="inlineStr">
        <is>
          <t>Cotando valores para fechar MEI</t>
        </is>
      </c>
      <c r="G22" s="6" t="inlineStr">
        <is>
          <t>Entra nas contagens, mas não em 'dia da semana' nem em tempo de agendamento</t>
        </is>
      </c>
    </row>
    <row r="23">
      <c r="A23" s="32" t="inlineStr">
        <is>
          <t>Data fora do mês</t>
        </is>
      </c>
      <c r="B23" s="32" t="inlineStr">
        <is>
          <t>Telma</t>
        </is>
      </c>
      <c r="C23" s="32" t="inlineStr">
        <is>
          <t>Semana 2</t>
        </is>
      </c>
      <c r="D23" s="32" t="inlineStr">
        <is>
          <t>07/07/2026</t>
        </is>
      </c>
      <c r="E23" s="32" t="inlineStr">
        <is>
          <t>Reunião Feita</t>
        </is>
      </c>
      <c r="F23" s="32" t="inlineStr">
        <is>
          <t>Falar em uma semana pros dois apps</t>
        </is>
      </c>
      <c r="G23" s="32" t="inlineStr">
        <is>
          <t>A data não é de setembro/2026 — provável erro de digitação</t>
        </is>
      </c>
    </row>
    <row r="24">
      <c r="A24" s="6" t="inlineStr">
        <is>
          <t>Fechado, mas a observação sugere que ainda não fechou</t>
        </is>
      </c>
      <c r="B24" s="6" t="inlineStr">
        <is>
          <t>Daniel</t>
        </is>
      </c>
      <c r="C24" s="6" t="inlineStr">
        <is>
          <t>Semana 1</t>
        </is>
      </c>
      <c r="D24" s="6" t="n"/>
      <c r="E24" s="6" t="inlineStr">
        <is>
          <t>Fechado</t>
        </is>
      </c>
      <c r="F24" s="6" t="inlineStr">
        <is>
          <t>Gostou muito e vai falar com a esposa e pediu para retornarmos Terça para dar andamento</t>
        </is>
      </c>
      <c r="G24" s="6" t="inlineStr">
        <is>
          <t>Confirme se o contrato foi mesmo assinado — pode estar inflando a assertividade</t>
        </is>
      </c>
    </row>
    <row r="25">
      <c r="A25" s="32" t="inlineStr">
        <is>
          <t>Fechado, mas a observação sugere que ainda não fechou</t>
        </is>
      </c>
      <c r="B25" s="32" t="inlineStr">
        <is>
          <t>Malu</t>
        </is>
      </c>
      <c r="C25" s="32" t="inlineStr">
        <is>
          <t>Semana 2</t>
        </is>
      </c>
      <c r="D25" s="32" t="inlineStr">
        <is>
          <t>08/09/ 2026</t>
        </is>
      </c>
      <c r="E25" s="32" t="inlineStr">
        <is>
          <t>Fechado</t>
        </is>
      </c>
      <c r="F25" s="32" t="inlineStr">
        <is>
          <t>Irão conversar entre eles e decidirão amanhã ás 16:00</t>
        </is>
      </c>
      <c r="G25" s="32" t="inlineStr">
        <is>
          <t>Confirme se o contrato foi mesmo assinado — pode estar inflando a assertividade</t>
        </is>
      </c>
    </row>
    <row r="26">
      <c r="A26" s="6" t="inlineStr">
        <is>
          <t>Fechado, mas a observação sugere que ainda não fechou</t>
        </is>
      </c>
      <c r="B26" s="6" t="inlineStr">
        <is>
          <t>Jean</t>
        </is>
      </c>
      <c r="C26" s="6" t="inlineStr">
        <is>
          <t>Semana 2</t>
        </is>
      </c>
      <c r="D26" s="6" t="n"/>
      <c r="E26" s="6" t="inlineStr">
        <is>
          <t>Fechado</t>
        </is>
      </c>
      <c r="F26" s="6" t="inlineStr">
        <is>
          <t>Falar com ele Terça feira e irá fechar</t>
        </is>
      </c>
      <c r="G26" s="6" t="inlineStr">
        <is>
          <t>Confirme se o contrato foi mesmo assinado — pode estar inflando a assertividade</t>
        </is>
      </c>
    </row>
    <row r="27"/>
    <row r="28">
      <c r="A28" s="42" t="inlineStr">
        <is>
          <t>Como as colunas dos seus arquivos foram reconhecidas</t>
        </is>
      </c>
    </row>
    <row r="29" ht="32" customHeight="1">
      <c r="A29" s="21" t="inlineStr">
        <is>
          <t>Base</t>
        </is>
      </c>
      <c r="B29" s="21" t="inlineStr">
        <is>
          <t>Campo do sistema</t>
        </is>
      </c>
      <c r="C29" s="21" t="inlineStr">
        <is>
          <t>Coluna encontrada no arquivo</t>
        </is>
      </c>
    </row>
    <row r="30">
      <c r="A30" s="6" t="inlineStr">
        <is>
          <t>Meta Ads</t>
        </is>
      </c>
      <c r="B30" s="6" t="inlineStr">
        <is>
          <t>data_inicio</t>
        </is>
      </c>
      <c r="C30" s="6" t="inlineStr">
        <is>
          <t>Início dos relatórios</t>
        </is>
      </c>
    </row>
    <row r="31">
      <c r="A31" s="32" t="inlineStr">
        <is>
          <t>Meta Ads</t>
        </is>
      </c>
      <c r="B31" s="32" t="inlineStr">
        <is>
          <t>data_fim</t>
        </is>
      </c>
      <c r="C31" s="32" t="inlineStr">
        <is>
          <t>Encerramento dos relatórios</t>
        </is>
      </c>
    </row>
    <row r="32">
      <c r="A32" s="6" t="inlineStr">
        <is>
          <t>Meta Ads</t>
        </is>
      </c>
      <c r="B32" s="6" t="inlineStr">
        <is>
          <t>campanha</t>
        </is>
      </c>
      <c r="C32" s="6" t="inlineStr">
        <is>
          <t>Nome da campanha</t>
        </is>
      </c>
    </row>
    <row r="33">
      <c r="A33" s="32" t="inlineStr">
        <is>
          <t>Meta Ads</t>
        </is>
      </c>
      <c r="B33" s="32" t="inlineStr">
        <is>
          <t>conjunto</t>
        </is>
      </c>
      <c r="C33" s="32" t="inlineStr">
        <is>
          <t>— NÃO ENCONTRADA —</t>
        </is>
      </c>
    </row>
    <row r="34">
      <c r="A34" s="6" t="inlineStr">
        <is>
          <t>Meta Ads</t>
        </is>
      </c>
      <c r="B34" s="6" t="inlineStr">
        <is>
          <t>anuncio</t>
        </is>
      </c>
      <c r="C34" s="6" t="inlineStr">
        <is>
          <t>— NÃO ENCONTRADA —</t>
        </is>
      </c>
    </row>
    <row r="35">
      <c r="A35" s="32" t="inlineStr">
        <is>
          <t>Meta Ads</t>
        </is>
      </c>
      <c r="B35" s="32" t="inlineStr">
        <is>
          <t>investimento</t>
        </is>
      </c>
      <c r="C35" s="32" t="inlineStr">
        <is>
          <t>Valor gasto (BRL)</t>
        </is>
      </c>
    </row>
    <row r="36">
      <c r="A36" s="6" t="inlineStr">
        <is>
          <t>Meta Ads</t>
        </is>
      </c>
      <c r="B36" s="6" t="inlineStr">
        <is>
          <t>impressoes</t>
        </is>
      </c>
      <c r="C36" s="6" t="inlineStr">
        <is>
          <t>Impressões</t>
        </is>
      </c>
    </row>
    <row r="37">
      <c r="A37" s="32" t="inlineStr">
        <is>
          <t>Meta Ads</t>
        </is>
      </c>
      <c r="B37" s="32" t="inlineStr">
        <is>
          <t>alcance</t>
        </is>
      </c>
      <c r="C37" s="32" t="inlineStr">
        <is>
          <t>Alcance</t>
        </is>
      </c>
    </row>
    <row r="38">
      <c r="A38" s="6" t="inlineStr">
        <is>
          <t>Meta Ads</t>
        </is>
      </c>
      <c r="B38" s="6" t="inlineStr">
        <is>
          <t>cliques</t>
        </is>
      </c>
      <c r="C38" s="6" t="inlineStr">
        <is>
          <t>Cliques no link</t>
        </is>
      </c>
    </row>
    <row r="39">
      <c r="A39" s="32" t="inlineStr">
        <is>
          <t>Meta Ads</t>
        </is>
      </c>
      <c r="B39" s="32" t="inlineStr">
        <is>
          <t>resultados</t>
        </is>
      </c>
      <c r="C39" s="32" t="inlineStr">
        <is>
          <t>Resultados</t>
        </is>
      </c>
    </row>
    <row r="40">
      <c r="A40" s="6" t="inlineStr">
        <is>
          <t>Meta Ads</t>
        </is>
      </c>
      <c r="B40" s="6" t="inlineStr">
        <is>
          <t>tipo_resultado</t>
        </is>
      </c>
      <c r="C40" s="6" t="inlineStr">
        <is>
          <t>Indicador de resultados</t>
        </is>
      </c>
    </row>
    <row r="41">
      <c r="A41" s="32" t="inlineStr">
        <is>
          <t>Meta Ads</t>
        </is>
      </c>
      <c r="B41" s="32" t="inlineStr">
        <is>
          <t>(não usada)</t>
        </is>
      </c>
      <c r="C41" s="32" t="inlineStr">
        <is>
          <t>Veiculação da campanha</t>
        </is>
      </c>
    </row>
    <row r="42">
      <c r="A42" s="6" t="inlineStr">
        <is>
          <t>Meta Ads</t>
        </is>
      </c>
      <c r="B42" s="6" t="inlineStr">
        <is>
          <t>(não usada)</t>
        </is>
      </c>
      <c r="C42" s="6" t="inlineStr">
        <is>
          <t>Configuração de atribuição</t>
        </is>
      </c>
    </row>
    <row r="43">
      <c r="A43" s="32" t="inlineStr">
        <is>
          <t>Meta Ads</t>
        </is>
      </c>
      <c r="B43" s="32" t="inlineStr">
        <is>
          <t>(não usada)</t>
        </is>
      </c>
      <c r="C43" s="32" t="inlineStr">
        <is>
          <t>CTR (taxa de cliques no link)</t>
        </is>
      </c>
    </row>
    <row r="44">
      <c r="A44" s="6" t="inlineStr">
        <is>
          <t>Meta Ads</t>
        </is>
      </c>
      <c r="B44" s="6" t="inlineStr">
        <is>
          <t>(não usada)</t>
        </is>
      </c>
      <c r="C44" s="6" t="inlineStr">
        <is>
          <t>Frequência</t>
        </is>
      </c>
    </row>
    <row r="45">
      <c r="A45" s="32" t="inlineStr">
        <is>
          <t>Meta Ads</t>
        </is>
      </c>
      <c r="B45" s="32" t="inlineStr">
        <is>
          <t>(não usada)</t>
        </is>
      </c>
      <c r="C45" s="32" t="inlineStr">
        <is>
          <t>Custo por resultados</t>
        </is>
      </c>
    </row>
    <row r="46">
      <c r="A46" s="6" t="inlineStr">
        <is>
          <t>Meta Ads</t>
        </is>
      </c>
      <c r="B46" s="6" t="inlineStr">
        <is>
          <t>(não usada)</t>
        </is>
      </c>
      <c r="C46" s="6" t="inlineStr">
        <is>
          <t>Orçamento do conjunto de anúncios</t>
        </is>
      </c>
    </row>
    <row r="47">
      <c r="A47" s="32" t="inlineStr">
        <is>
          <t>Meta Ads</t>
        </is>
      </c>
      <c r="B47" s="32" t="inlineStr">
        <is>
          <t>(não usada)</t>
        </is>
      </c>
      <c r="C47" s="32" t="inlineStr">
        <is>
          <t>Tipo de orçamento do conjunto de anúncios</t>
        </is>
      </c>
    </row>
    <row r="48">
      <c r="A48" s="6" t="inlineStr">
        <is>
          <t>Meta Ads</t>
        </is>
      </c>
      <c r="B48" s="6" t="inlineStr">
        <is>
          <t>(não usada)</t>
        </is>
      </c>
      <c r="C48" s="6" t="inlineStr">
        <is>
          <t>Término</t>
        </is>
      </c>
    </row>
    <row r="49">
      <c r="A49" s="32" t="inlineStr">
        <is>
          <t>Meta Ads</t>
        </is>
      </c>
      <c r="B49" s="32" t="inlineStr">
        <is>
          <t>(não usada)</t>
        </is>
      </c>
      <c r="C49" s="32" t="inlineStr">
        <is>
          <t>CPM (custo por 1.000 impressões) (BRL)</t>
        </is>
      </c>
    </row>
    <row r="50">
      <c r="A50" s="6" t="inlineStr">
        <is>
          <t>Meta Ads</t>
        </is>
      </c>
      <c r="B50" s="6" t="inlineStr">
        <is>
          <t>(não usada)</t>
        </is>
      </c>
      <c r="C50" s="6" t="inlineStr">
        <is>
          <t>shop_clicks</t>
        </is>
      </c>
    </row>
    <row r="51">
      <c r="A51" s="32" t="inlineStr">
        <is>
          <t>Meta Ads</t>
        </is>
      </c>
      <c r="B51" s="32" t="inlineStr">
        <is>
          <t>(não usada)</t>
        </is>
      </c>
      <c r="C51" s="32" t="inlineStr">
        <is>
          <t>CPC (custo por clique no link) (BRL)</t>
        </is>
      </c>
    </row>
    <row r="52">
      <c r="A52" s="6" t="inlineStr">
        <is>
          <t>Meta Ads</t>
        </is>
      </c>
      <c r="B52" s="6" t="inlineStr">
        <is>
          <t>(não usada)</t>
        </is>
      </c>
      <c r="C52" s="6" t="inlineStr">
        <is>
          <t>Cliques (todos)</t>
        </is>
      </c>
    </row>
    <row r="53">
      <c r="A53" s="32" t="inlineStr">
        <is>
          <t>Meta Ads</t>
        </is>
      </c>
      <c r="B53" s="32" t="inlineStr">
        <is>
          <t>(não usada)</t>
        </is>
      </c>
      <c r="C53" s="32" t="inlineStr">
        <is>
          <t>CTR (todos)</t>
        </is>
      </c>
    </row>
    <row r="54">
      <c r="A54" s="6" t="inlineStr">
        <is>
          <t>Meta Ads</t>
        </is>
      </c>
      <c r="B54" s="6" t="inlineStr">
        <is>
          <t>(não usada)</t>
        </is>
      </c>
      <c r="C54" s="6" t="inlineStr">
        <is>
          <t>CPC (todos) (BRL)</t>
        </is>
      </c>
    </row>
    <row r="55">
      <c r="A55" s="32" t="inlineStr">
        <is>
          <t>Meta Ads</t>
        </is>
      </c>
      <c r="B55" s="32" t="inlineStr">
        <is>
          <t>(não usada)</t>
        </is>
      </c>
      <c r="C55" s="32" t="inlineStr">
        <is>
          <t>Visualizações da página de destino</t>
        </is>
      </c>
    </row>
    <row r="56">
      <c r="A56" s="6" t="inlineStr">
        <is>
          <t>Meta Ads</t>
        </is>
      </c>
      <c r="B56" s="6" t="inlineStr">
        <is>
          <t>(não usada)</t>
        </is>
      </c>
      <c r="C56" s="6" t="inlineStr">
        <is>
          <t>Custo por visualização da página de destino (BRL)</t>
        </is>
      </c>
    </row>
    <row r="57">
      <c r="A57" s="32" t="inlineStr">
        <is>
          <t>Meta Ads</t>
        </is>
      </c>
      <c r="B57" s="32" t="inlineStr">
        <is>
          <t>(não usada)</t>
        </is>
      </c>
      <c r="C57" s="32" t="inlineStr">
        <is>
          <t>Resultados (iniciais)</t>
        </is>
      </c>
    </row>
    <row r="58">
      <c r="A58" s="6" t="inlineStr">
        <is>
          <t>Meta Ads</t>
        </is>
      </c>
      <c r="B58" s="6" t="inlineStr">
        <is>
          <t>(não usada)</t>
        </is>
      </c>
      <c r="C58" s="6" t="inlineStr">
        <is>
          <t>Indicador de resultados (inicial)</t>
        </is>
      </c>
    </row>
    <row r="59">
      <c r="A59" s="32" t="inlineStr">
        <is>
          <t>Reuniões</t>
        </is>
      </c>
      <c r="B59" s="32" t="inlineStr">
        <is>
          <t>data_reuniao</t>
        </is>
      </c>
      <c r="C59" s="32" t="inlineStr">
        <is>
          <t>Data da Reunião Realizada</t>
        </is>
      </c>
    </row>
    <row r="60">
      <c r="A60" s="6" t="inlineStr">
        <is>
          <t>Reuniões</t>
        </is>
      </c>
      <c r="B60" s="6" t="inlineStr">
        <is>
          <t>data_agendamento</t>
        </is>
      </c>
      <c r="C60" s="6" t="inlineStr">
        <is>
          <t>Data do Agendamento</t>
        </is>
      </c>
    </row>
    <row r="61">
      <c r="A61" s="32" t="inlineStr">
        <is>
          <t>Reuniões</t>
        </is>
      </c>
      <c r="B61" s="32" t="inlineStr">
        <is>
          <t>cliente</t>
        </is>
      </c>
      <c r="C61" s="32" t="inlineStr">
        <is>
          <t>Cliente</t>
        </is>
      </c>
    </row>
    <row r="62">
      <c r="A62" s="6" t="inlineStr">
        <is>
          <t>Reuniões</t>
        </is>
      </c>
      <c r="B62" s="6" t="inlineStr">
        <is>
          <t>status</t>
        </is>
      </c>
      <c r="C62" s="6" t="inlineStr">
        <is>
          <t>Etapa do Funil</t>
        </is>
      </c>
    </row>
    <row r="63">
      <c r="A63" s="32" t="inlineStr">
        <is>
          <t>Reuniões</t>
        </is>
      </c>
      <c r="B63" s="32" t="inlineStr">
        <is>
          <t>valor</t>
        </is>
      </c>
      <c r="C63" s="32" t="inlineStr">
        <is>
          <t>— NÃO ENCONTRADA —</t>
        </is>
      </c>
    </row>
    <row r="64">
      <c r="A64" s="6" t="inlineStr">
        <is>
          <t>Reuniões</t>
        </is>
      </c>
      <c r="B64" s="6" t="inlineStr">
        <is>
          <t>responsavel</t>
        </is>
      </c>
      <c r="C64" s="6" t="inlineStr">
        <is>
          <t>Quem fez</t>
        </is>
      </c>
    </row>
    <row r="65">
      <c r="A65" s="32" t="inlineStr">
        <is>
          <t>Reuniões</t>
        </is>
      </c>
      <c r="B65" s="32" t="inlineStr">
        <is>
          <t>origem</t>
        </is>
      </c>
      <c r="C65" s="32" t="inlineStr">
        <is>
          <t>— NÃO ENCONTRADA —</t>
        </is>
      </c>
    </row>
    <row r="66">
      <c r="A66" s="6" t="inlineStr">
        <is>
          <t>Reuniões</t>
        </is>
      </c>
      <c r="B66" s="6" t="inlineStr">
        <is>
          <t>campanha</t>
        </is>
      </c>
      <c r="C66" s="6" t="inlineStr">
        <is>
          <t>— NÃO ENCONTRADA —</t>
        </is>
      </c>
    </row>
    <row r="67">
      <c r="A67" s="32" t="inlineStr">
        <is>
          <t>Reuniões</t>
        </is>
      </c>
      <c r="B67" s="32" t="inlineStr">
        <is>
          <t>produto</t>
        </is>
      </c>
      <c r="C67" s="32" t="inlineStr">
        <is>
          <t>— NÃO ENCONTRADA —</t>
        </is>
      </c>
    </row>
    <row r="68">
      <c r="A68" s="6" t="inlineStr">
        <is>
          <t>Reuniões</t>
        </is>
      </c>
      <c r="B68" s="6" t="inlineStr">
        <is>
          <t>data_fechamento</t>
        </is>
      </c>
      <c r="C68" s="6" t="inlineStr">
        <is>
          <t>— NÃO ENCONTRADA —</t>
        </is>
      </c>
    </row>
    <row r="69">
      <c r="A69" s="32" t="inlineStr">
        <is>
          <t>Reuniões</t>
        </is>
      </c>
      <c r="B69" s="32" t="inlineStr">
        <is>
          <t>data_lead</t>
        </is>
      </c>
      <c r="C69" s="32" t="inlineStr">
        <is>
          <t>— NÃO ENCONTRADA —</t>
        </is>
      </c>
    </row>
    <row r="70">
      <c r="A70" s="6" t="inlineStr">
        <is>
          <t>Reuniões</t>
        </is>
      </c>
      <c r="B70" s="6" t="inlineStr">
        <is>
          <t>motivo_perda</t>
        </is>
      </c>
      <c r="C70" s="6" t="inlineStr">
        <is>
          <t>— NÃO ENCONTRADA —</t>
        </is>
      </c>
    </row>
    <row r="71">
      <c r="A71" s="32" t="inlineStr">
        <is>
          <t>Reuniões</t>
        </is>
      </c>
      <c r="B71" s="32" t="inlineStr">
        <is>
          <t>observacoes</t>
        </is>
      </c>
      <c r="C71" s="32" t="inlineStr">
        <is>
          <t>Observações</t>
        </is>
      </c>
    </row>
    <row r="72">
      <c r="A72" s="6" t="inlineStr">
        <is>
          <t>Reuniões</t>
        </is>
      </c>
      <c r="B72" s="6" t="inlineStr">
        <is>
          <t>(não usada)</t>
        </is>
      </c>
      <c r="C72" s="6" t="inlineStr">
        <is>
          <t>coluna_6</t>
        </is>
      </c>
    </row>
    <row r="73">
      <c r="A73" s="32" t="inlineStr">
        <is>
          <t>Reuniões</t>
        </is>
      </c>
      <c r="B73" s="32" t="inlineStr">
        <is>
          <t>(não usada)</t>
        </is>
      </c>
      <c r="C73" s="32" t="inlineStr">
        <is>
          <t>coluna_7</t>
        </is>
      </c>
    </row>
  </sheetData>
  <autoFilter ref="A5:B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Glossário — definição de cada indicador</t>
        </is>
      </c>
    </row>
    <row r="2">
      <c r="A2" s="2" t="inlineStr">
        <is>
          <t>Período: setembro/2026  •  Gerado em 24/09/2026 15:31</t>
        </is>
      </c>
    </row>
    <row r="4" ht="32" customHeight="1">
      <c r="A4" s="21" t="inlineStr">
        <is>
          <t>Indicador</t>
        </is>
      </c>
      <c r="B4" s="21" t="inlineStr">
        <is>
          <t>Definição</t>
        </is>
      </c>
    </row>
    <row r="5">
      <c r="A5" s="6" t="inlineStr">
        <is>
          <t>Investimento em tráfego pago</t>
        </is>
      </c>
      <c r="B5" s="6" t="inlineStr">
        <is>
          <t>Soma de 'Valor usado' da Meta no período</t>
        </is>
      </c>
    </row>
    <row r="6">
      <c r="A6" s="32" t="inlineStr">
        <is>
          <t>Impressões</t>
        </is>
      </c>
      <c r="B6" s="32" t="inlineStr">
        <is>
          <t>Quantas vezes os anúncios apareceram</t>
        </is>
      </c>
    </row>
    <row r="7">
      <c r="A7" s="6" t="inlineStr">
        <is>
          <t>Alcance (soma)</t>
        </is>
      </c>
      <c r="B7" s="6" t="inlineStr">
        <is>
          <t>Pessoas alcançadas — somado entre anúncios, pode ter sobreposição</t>
        </is>
      </c>
    </row>
    <row r="8">
      <c r="A8" s="32" t="inlineStr">
        <is>
          <t>Cliques no link</t>
        </is>
      </c>
      <c r="B8" s="32" t="inlineStr">
        <is>
          <t>Cliques que levaram ao destino do anúncio</t>
        </is>
      </c>
    </row>
    <row r="9">
      <c r="A9" s="6" t="inlineStr">
        <is>
          <t>Leads / resultados (Meta)</t>
        </is>
      </c>
      <c r="B9" s="6" t="inlineStr">
        <is>
          <t>Coluna 'Resultados' da Meta (Conversas no WhatsApp/Direct iniciadas)</t>
        </is>
      </c>
    </row>
    <row r="10">
      <c r="A10" s="32" t="inlineStr">
        <is>
          <t>CTR no link</t>
        </is>
      </c>
      <c r="B10" s="32" t="inlineStr">
        <is>
          <t>Cliques ÷ impressões</t>
        </is>
      </c>
    </row>
    <row r="11">
      <c r="A11" s="6" t="inlineStr">
        <is>
          <t>CPC</t>
        </is>
      </c>
      <c r="B11" s="6" t="inlineStr">
        <is>
          <t>Investimento ÷ cliques</t>
        </is>
      </c>
    </row>
    <row r="12">
      <c r="A12" s="32" t="inlineStr">
        <is>
          <t>CPM</t>
        </is>
      </c>
      <c r="B12" s="32" t="inlineStr">
        <is>
          <t>Custo por mil impressões</t>
        </is>
      </c>
    </row>
    <row r="13">
      <c r="A13" s="6" t="inlineStr">
        <is>
          <t>Custo por lead/conversa (CPL)</t>
        </is>
      </c>
      <c r="B13" s="6" t="inlineStr">
        <is>
          <t>Investimento ÷ leads</t>
        </is>
      </c>
    </row>
    <row r="14">
      <c r="A14" s="32" t="inlineStr">
        <is>
          <t>Reuniões agendadas (total)</t>
        </is>
      </c>
      <c r="B14" s="32" t="inlineStr">
        <is>
          <t>Todas as linhas do mês na planilha de reuniões</t>
        </is>
      </c>
    </row>
    <row r="15">
      <c r="A15" s="6" t="inlineStr">
        <is>
          <t>Reuniões realizadas (total)</t>
        </is>
      </c>
      <c r="B15" s="6" t="inlineStr">
        <is>
          <t>Fechado + Perdido + Em negociação + Reunião feita</t>
        </is>
      </c>
    </row>
    <row r="16">
      <c r="A16" s="32" t="inlineStr">
        <is>
          <t>No-show (total)</t>
        </is>
      </c>
      <c r="B16" s="32" t="inlineStr">
        <is>
          <t>Cliente não compareceu</t>
        </is>
      </c>
    </row>
    <row r="17">
      <c r="A17" s="6" t="inlineStr">
        <is>
          <t>Remarcadas + canceladas</t>
        </is>
      </c>
      <c r="B17" s="6" t="inlineStr">
        <is>
          <t>Não aconteceram no dia marcado</t>
        </is>
      </c>
    </row>
    <row r="18">
      <c r="A18" s="32" t="inlineStr">
        <is>
          <t>Ainda vão acontecer</t>
        </is>
      </c>
      <c r="B18" s="32" t="inlineStr">
        <is>
          <t>Status 'Agendado' — ficam fora das taxas</t>
        </is>
      </c>
    </row>
    <row r="19">
      <c r="A19" s="6" t="inlineStr">
        <is>
          <t>Fechados (total)</t>
        </is>
      </c>
      <c r="B19" s="6" t="inlineStr">
        <is>
          <t>Status padronizado = Fechado</t>
        </is>
      </c>
    </row>
    <row r="20">
      <c r="A20" s="32" t="inlineStr">
        <is>
          <t>Perdidos (total)</t>
        </is>
      </c>
      <c r="B20" s="32" t="inlineStr">
        <is>
          <t>Status padronizado = Perdido</t>
        </is>
      </c>
    </row>
    <row r="21">
      <c r="A21" s="6" t="inlineStr">
        <is>
          <t>Em negociação / follow-up (total)</t>
        </is>
      </c>
      <c r="B21" s="6" t="inlineStr">
        <is>
          <t>Follow-up, proposta, aguardando retorno</t>
        </is>
      </c>
    </row>
    <row r="22">
      <c r="A22" s="32" t="inlineStr">
        <is>
          <t>Reunião feita, sem desfecho registrado</t>
        </is>
      </c>
      <c r="B22" s="32" t="inlineStr">
        <is>
          <t>Etapa 'Reunião Feita' — a conversa aconteceu, mas não diz se fechou ou perdeu</t>
        </is>
      </c>
    </row>
    <row r="23">
      <c r="A23" s="6" t="inlineStr">
        <is>
          <t>Agendamento → realização</t>
        </is>
      </c>
      <c r="B23" s="6" t="inlineStr">
        <is>
          <t>Realizadas ÷ (realizadas + no-show + remarcadas/canceladas)</t>
        </is>
      </c>
    </row>
    <row r="24">
      <c r="A24" s="32" t="inlineStr">
        <is>
          <t>Comparecimento</t>
        </is>
      </c>
      <c r="B24" s="32" t="inlineStr">
        <is>
          <t>Realizadas ÷ (realizadas + no-show) — a planilha não registra no-show, por isso tende a 100%</t>
        </is>
      </c>
    </row>
    <row r="25">
      <c r="A25" s="6" t="inlineStr">
        <is>
          <t>⭐ ASSERTIVIDADE (fechados ÷ realizadas)</t>
        </is>
      </c>
      <c r="B25" s="6" t="inlineStr">
        <is>
          <t>De cada 100 reuniões feitas, quantas fecharam</t>
        </is>
      </c>
    </row>
    <row r="26">
      <c r="A26" s="32" t="inlineStr">
        <is>
          <t>Win rate (fechados ÷ decididas)</t>
        </is>
      </c>
      <c r="B26" s="32" t="inlineStr">
        <is>
          <t>Considera só quem já decidiu (fechou ou perdeu) — SEM PERDAS REGISTRADAS, por isso não é confiável</t>
        </is>
      </c>
    </row>
    <row r="27">
      <c r="A27" s="6" t="inlineStr">
        <is>
          <t>Fechamento sobre agendadas</t>
        </is>
      </c>
      <c r="B27" s="6" t="inlineStr">
        <is>
          <t>Fechados ÷ tudo que foi agendado</t>
        </is>
      </c>
    </row>
    <row r="28">
      <c r="A28" s="32" t="inlineStr">
        <is>
          <t>Reuniões agendadas (tráfego pago)</t>
        </is>
      </c>
      <c r="B28" s="32" t="inlineStr">
        <is>
          <t>Reuniões cuja origem é tráfego pago</t>
        </is>
      </c>
    </row>
    <row r="29">
      <c r="A29" s="6" t="inlineStr">
        <is>
          <t>Reuniões realizadas (tráfego pago)</t>
        </is>
      </c>
      <c r="B29" s="6" t="inlineStr">
        <is>
          <t>Idem, só as realizadas</t>
        </is>
      </c>
    </row>
    <row r="30">
      <c r="A30" s="32" t="inlineStr">
        <is>
          <t>Fechados (tráfego pago)</t>
        </is>
      </c>
      <c r="B30" s="32" t="inlineStr">
        <is>
          <t>Clientes vindos do tráfego pago</t>
        </is>
      </c>
    </row>
    <row r="31">
      <c r="A31" s="6" t="inlineStr">
        <is>
          <t>Lead → reunião agendada</t>
        </is>
      </c>
      <c r="B31" s="6" t="inlineStr">
        <is>
          <t>Reuniões agendadas pagas ÷ leads da Meta</t>
        </is>
      </c>
    </row>
    <row r="32">
      <c r="A32" s="32" t="inlineStr">
        <is>
          <t>Lead → cliente</t>
        </is>
      </c>
      <c r="B32" s="32" t="inlineStr">
        <is>
          <t>Fechados pagos ÷ leads da Meta</t>
        </is>
      </c>
    </row>
    <row r="33">
      <c r="A33" s="6" t="inlineStr">
        <is>
          <t>Custo por reunião realizada</t>
        </is>
      </c>
      <c r="B33" s="6" t="inlineStr">
        <is>
          <t>Investimento ÷ reuniões realizadas pagas</t>
        </is>
      </c>
    </row>
    <row r="34">
      <c r="A34" s="32" t="inlineStr">
        <is>
          <t>CAC (custo por cliente)</t>
        </is>
      </c>
      <c r="B34" s="32" t="inlineStr">
        <is>
          <t>Investimento ÷ clientes fechados do tráfego pago</t>
        </is>
      </c>
    </row>
    <row r="35">
      <c r="A35" s="6" t="inlineStr">
        <is>
          <t>Reunião realizada</t>
        </is>
      </c>
      <c r="B35" s="6" t="inlineStr">
        <is>
          <t>Status Fechado, Perdido, Em negociação/Follow-up ou Reunião feita (a conversa aconteceu)</t>
        </is>
      </c>
    </row>
    <row r="36">
      <c r="A36" s="32" t="inlineStr">
        <is>
          <t>Temperatura (pipeline)</t>
        </is>
      </c>
      <c r="B36" s="32" t="inlineStr">
        <is>
          <t>🔥 Quente = Follow-up ou promessa de fechamento na observação; ❄️ Fria = sinal de perda na observação; 🌤️ Morna = o resto</t>
        </is>
      </c>
    </row>
    <row r="37">
      <c r="A37" s="6" t="inlineStr">
        <is>
          <t>Marcação</t>
        </is>
      </c>
      <c r="B37" s="6" t="inlineStr">
        <is>
          <t>Texto depois do hífen no nome do cliente (ex.: 'César - Tayron' → Tayron)</t>
        </is>
      </c>
    </row>
    <row r="38">
      <c r="A38" s="32" t="inlineStr">
        <is>
          <t>Status 'Agendado'</t>
        </is>
      </c>
      <c r="B38" s="32" t="inlineStr">
        <is>
          <t>Reunião futura; não entra em nenhuma taxa até ser atualizada</t>
        </is>
      </c>
    </row>
    <row r="39">
      <c r="A39" s="6" t="inlineStr">
        <is>
          <t>Tráfego pago</t>
        </is>
      </c>
      <c r="B39" s="6" t="inlineStr">
        <is>
          <t>Origem contém: meta, facebook, instagram ads, insta ads, ads, trafego, anuncio, fb, pago — sem coluna de origem, todas consideradas pagas</t>
        </is>
      </c>
    </row>
    <row r="40">
      <c r="A40" s="32" t="inlineStr">
        <is>
          <t>Status padronizado</t>
        </is>
      </c>
      <c r="B40" s="32" t="inlineStr">
        <is>
          <t>Texto livre da planilha convertido pelas regras do notebook (aba Status das Reuniões mostra a conversão)</t>
        </is>
      </c>
    </row>
  </sheetData>
  <autoFilter ref="A4:B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2026-09-24T18:31:36Z</dcterms:created>
  <dcterms:modified xsi:type="dcterms:W3CDTF">2026-09-24T18:31:37Z</dcterms:modified>
</cp:coreProperties>
</file>